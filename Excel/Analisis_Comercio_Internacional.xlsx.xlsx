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D6364B6-EC7B-4520-ADFE-A9D5CDCE04A9}" xr6:coauthVersionLast="47" xr6:coauthVersionMax="47" xr10:uidLastSave="{00000000-0000-0000-0000-000000000000}"/>
  <bookViews>
    <workbookView xWindow="-108" yWindow="-108" windowWidth="23256" windowHeight="12456" activeTab="4" xr2:uid="{7B738EEA-C5D1-4763-99B0-CB41F4188051}"/>
  </bookViews>
  <sheets>
    <sheet name="1. Operaciones" sheetId="2" r:id="rId1"/>
    <sheet name="2. Productos" sheetId="3" r:id="rId2"/>
    <sheet name="3. Mercados" sheetId="4" r:id="rId3"/>
    <sheet name="4.Analisis" sheetId="5" r:id="rId4"/>
    <sheet name="5.Graficos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" i="2" l="1"/>
  <c r="Z10" i="2"/>
  <c r="Z13" i="2"/>
  <c r="Z16" i="2"/>
  <c r="Z19" i="2"/>
  <c r="Z22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P5" i="2"/>
  <c r="R5" i="2" s="1"/>
  <c r="S5" i="2" s="1"/>
  <c r="T5" i="2" s="1"/>
  <c r="P6" i="2"/>
  <c r="R6" i="2" s="1"/>
  <c r="S6" i="2" s="1"/>
  <c r="T6" i="2" s="1"/>
  <c r="P7" i="2"/>
  <c r="R7" i="2" s="1"/>
  <c r="S7" i="2" s="1"/>
  <c r="T7" i="2" s="1"/>
  <c r="P8" i="2"/>
  <c r="R8" i="2" s="1"/>
  <c r="S8" i="2" s="1"/>
  <c r="T8" i="2" s="1"/>
  <c r="P9" i="2"/>
  <c r="R9" i="2" s="1"/>
  <c r="S9" i="2" s="1"/>
  <c r="T9" i="2" s="1"/>
  <c r="P10" i="2"/>
  <c r="R10" i="2" s="1"/>
  <c r="S10" i="2" s="1"/>
  <c r="T10" i="2" s="1"/>
  <c r="P11" i="2"/>
  <c r="R11" i="2" s="1"/>
  <c r="S11" i="2" s="1"/>
  <c r="T11" i="2" s="1"/>
  <c r="P12" i="2"/>
  <c r="R12" i="2" s="1"/>
  <c r="S12" i="2" s="1"/>
  <c r="T12" i="2" s="1"/>
  <c r="P13" i="2"/>
  <c r="R13" i="2" s="1"/>
  <c r="S13" i="2" s="1"/>
  <c r="T13" i="2" s="1"/>
  <c r="P14" i="2"/>
  <c r="R14" i="2" s="1"/>
  <c r="S14" i="2" s="1"/>
  <c r="T14" i="2" s="1"/>
  <c r="P15" i="2"/>
  <c r="R15" i="2" s="1"/>
  <c r="S15" i="2" s="1"/>
  <c r="T15" i="2" s="1"/>
  <c r="P16" i="2"/>
  <c r="R16" i="2" s="1"/>
  <c r="S16" i="2" s="1"/>
  <c r="T16" i="2" s="1"/>
  <c r="P17" i="2"/>
  <c r="R17" i="2" s="1"/>
  <c r="S17" i="2" s="1"/>
  <c r="T17" i="2" s="1"/>
  <c r="P18" i="2"/>
  <c r="R18" i="2" s="1"/>
  <c r="S18" i="2" s="1"/>
  <c r="T18" i="2" s="1"/>
  <c r="P19" i="2"/>
  <c r="R19" i="2" s="1"/>
  <c r="S19" i="2" s="1"/>
  <c r="T19" i="2" s="1"/>
  <c r="P20" i="2"/>
  <c r="R20" i="2" s="1"/>
  <c r="S20" i="2" s="1"/>
  <c r="T20" i="2" s="1"/>
  <c r="P21" i="2"/>
  <c r="R21" i="2" s="1"/>
  <c r="S21" i="2" s="1"/>
  <c r="T21" i="2" s="1"/>
  <c r="P22" i="2"/>
  <c r="R22" i="2" s="1"/>
  <c r="S22" i="2" s="1"/>
  <c r="T22" i="2" s="1"/>
  <c r="P23" i="2"/>
  <c r="R23" i="2" s="1"/>
  <c r="S23" i="2" s="1"/>
  <c r="T23" i="2" s="1"/>
  <c r="P24" i="2"/>
  <c r="R24" i="2" s="1"/>
  <c r="S24" i="2" s="1"/>
  <c r="T24" i="2" s="1"/>
  <c r="P25" i="2"/>
  <c r="R25" i="2" s="1"/>
  <c r="S25" i="2" s="1"/>
  <c r="T25" i="2" s="1"/>
  <c r="P26" i="2"/>
  <c r="R26" i="2" s="1"/>
  <c r="S26" i="2" s="1"/>
  <c r="T26" i="2" s="1"/>
  <c r="P27" i="2"/>
  <c r="R27" i="2" s="1"/>
  <c r="S27" i="2" s="1"/>
  <c r="T27" i="2" s="1"/>
  <c r="P28" i="2"/>
  <c r="R28" i="2" s="1"/>
  <c r="S28" i="2" s="1"/>
  <c r="T28" i="2" s="1"/>
  <c r="P29" i="2"/>
  <c r="R29" i="2" s="1"/>
  <c r="S29" i="2" s="1"/>
  <c r="T29" i="2" s="1"/>
  <c r="P30" i="2"/>
  <c r="R30" i="2" s="1"/>
  <c r="S30" i="2" s="1"/>
  <c r="T30" i="2" s="1"/>
  <c r="P31" i="2"/>
  <c r="R31" i="2" s="1"/>
  <c r="S31" i="2" s="1"/>
  <c r="T31" i="2" s="1"/>
  <c r="P32" i="2"/>
  <c r="R32" i="2" s="1"/>
  <c r="S32" i="2" s="1"/>
  <c r="T32" i="2" s="1"/>
  <c r="P33" i="2"/>
  <c r="R33" i="2" s="1"/>
  <c r="S33" i="2" s="1"/>
  <c r="T33" i="2" s="1"/>
  <c r="P34" i="2"/>
  <c r="R34" i="2" s="1"/>
  <c r="S34" i="2" s="1"/>
  <c r="T34" i="2" s="1"/>
  <c r="P35" i="2"/>
  <c r="R35" i="2" s="1"/>
  <c r="S35" i="2" s="1"/>
  <c r="T35" i="2" s="1"/>
  <c r="P36" i="2"/>
  <c r="R36" i="2" s="1"/>
  <c r="S36" i="2" s="1"/>
  <c r="T36" i="2" s="1"/>
  <c r="P37" i="2"/>
  <c r="R37" i="2" s="1"/>
  <c r="S37" i="2" s="1"/>
  <c r="T37" i="2" s="1"/>
  <c r="P38" i="2"/>
  <c r="R38" i="2" s="1"/>
  <c r="S38" i="2" s="1"/>
  <c r="T38" i="2" s="1"/>
  <c r="P39" i="2"/>
  <c r="R39" i="2" s="1"/>
  <c r="S39" i="2" s="1"/>
  <c r="T39" i="2" s="1"/>
  <c r="P40" i="2"/>
  <c r="R40" i="2" s="1"/>
  <c r="S40" i="2" s="1"/>
  <c r="T40" i="2" s="1"/>
  <c r="P41" i="2"/>
  <c r="R41" i="2" s="1"/>
  <c r="S41" i="2" s="1"/>
  <c r="T41" i="2" s="1"/>
  <c r="P42" i="2"/>
  <c r="R42" i="2" s="1"/>
  <c r="S42" i="2" s="1"/>
  <c r="T42" i="2" s="1"/>
  <c r="P43" i="2"/>
  <c r="R43" i="2" s="1"/>
  <c r="S43" i="2" s="1"/>
  <c r="T43" i="2" s="1"/>
  <c r="P44" i="2"/>
  <c r="R44" i="2" s="1"/>
  <c r="S44" i="2" s="1"/>
  <c r="T44" i="2" s="1"/>
  <c r="P45" i="2"/>
  <c r="R45" i="2" s="1"/>
  <c r="S45" i="2" s="1"/>
  <c r="T45" i="2" s="1"/>
  <c r="P46" i="2"/>
  <c r="R46" i="2" s="1"/>
  <c r="S46" i="2" s="1"/>
  <c r="T46" i="2" s="1"/>
  <c r="P47" i="2"/>
  <c r="R47" i="2" s="1"/>
  <c r="S47" i="2" s="1"/>
  <c r="T47" i="2" s="1"/>
  <c r="P48" i="2"/>
  <c r="R48" i="2" s="1"/>
  <c r="S48" i="2" s="1"/>
  <c r="T48" i="2" s="1"/>
  <c r="P49" i="2"/>
  <c r="R49" i="2" s="1"/>
  <c r="S49" i="2" s="1"/>
  <c r="T49" i="2" s="1"/>
  <c r="P50" i="2"/>
  <c r="R50" i="2" s="1"/>
  <c r="S50" i="2" s="1"/>
  <c r="T50" i="2" s="1"/>
  <c r="P51" i="2"/>
  <c r="R51" i="2" s="1"/>
  <c r="S51" i="2" s="1"/>
  <c r="T51" i="2" s="1"/>
  <c r="P52" i="2"/>
  <c r="R52" i="2" s="1"/>
  <c r="S52" i="2" s="1"/>
  <c r="T52" i="2" s="1"/>
  <c r="P53" i="2"/>
  <c r="R53" i="2" s="1"/>
  <c r="S53" i="2" s="1"/>
  <c r="T53" i="2" s="1"/>
  <c r="P54" i="2"/>
  <c r="R54" i="2" s="1"/>
  <c r="S54" i="2" s="1"/>
  <c r="T54" i="2" s="1"/>
  <c r="P55" i="2"/>
  <c r="R55" i="2" s="1"/>
  <c r="S55" i="2" s="1"/>
  <c r="T55" i="2" s="1"/>
  <c r="P56" i="2"/>
  <c r="R56" i="2" s="1"/>
  <c r="S56" i="2" s="1"/>
  <c r="T56" i="2" s="1"/>
  <c r="P57" i="2"/>
  <c r="R57" i="2" s="1"/>
  <c r="S57" i="2" s="1"/>
  <c r="T57" i="2" s="1"/>
  <c r="P58" i="2"/>
  <c r="R58" i="2" s="1"/>
  <c r="S58" i="2" s="1"/>
  <c r="T58" i="2" s="1"/>
  <c r="P59" i="2"/>
  <c r="R59" i="2" s="1"/>
  <c r="S59" i="2" s="1"/>
  <c r="T59" i="2" s="1"/>
  <c r="P60" i="2"/>
  <c r="R60" i="2" s="1"/>
  <c r="S60" i="2" s="1"/>
  <c r="T60" i="2" s="1"/>
  <c r="P61" i="2"/>
  <c r="R61" i="2" s="1"/>
  <c r="S61" i="2" s="1"/>
  <c r="T61" i="2" s="1"/>
  <c r="P62" i="2"/>
  <c r="R62" i="2" s="1"/>
  <c r="S62" i="2" s="1"/>
  <c r="T62" i="2" s="1"/>
  <c r="P63" i="2"/>
  <c r="R63" i="2" s="1"/>
  <c r="S63" i="2" s="1"/>
  <c r="T63" i="2" s="1"/>
  <c r="P64" i="2"/>
  <c r="R64" i="2" s="1"/>
  <c r="S64" i="2" s="1"/>
  <c r="T64" i="2" s="1"/>
  <c r="P65" i="2"/>
  <c r="R65" i="2" s="1"/>
  <c r="S65" i="2" s="1"/>
  <c r="T65" i="2" s="1"/>
  <c r="P66" i="2"/>
  <c r="R66" i="2" s="1"/>
  <c r="S66" i="2" s="1"/>
  <c r="T66" i="2" s="1"/>
  <c r="P67" i="2"/>
  <c r="R67" i="2" s="1"/>
  <c r="S67" i="2" s="1"/>
  <c r="T67" i="2" s="1"/>
  <c r="P68" i="2"/>
  <c r="R68" i="2" s="1"/>
  <c r="S68" i="2" s="1"/>
  <c r="T68" i="2" s="1"/>
  <c r="P69" i="2"/>
  <c r="R69" i="2" s="1"/>
  <c r="S69" i="2" s="1"/>
  <c r="T69" i="2" s="1"/>
  <c r="P70" i="2"/>
  <c r="R70" i="2" s="1"/>
  <c r="S70" i="2" s="1"/>
  <c r="T70" i="2" s="1"/>
  <c r="P71" i="2"/>
  <c r="R71" i="2" s="1"/>
  <c r="S71" i="2" s="1"/>
  <c r="T71" i="2" s="1"/>
  <c r="P72" i="2"/>
  <c r="R72" i="2" s="1"/>
  <c r="S72" i="2" s="1"/>
  <c r="T72" i="2" s="1"/>
  <c r="P73" i="2"/>
  <c r="R73" i="2" s="1"/>
  <c r="S73" i="2" s="1"/>
  <c r="T73" i="2" s="1"/>
  <c r="P74" i="2"/>
  <c r="R74" i="2" s="1"/>
  <c r="S74" i="2" s="1"/>
  <c r="T74" i="2" s="1"/>
  <c r="P75" i="2"/>
  <c r="R75" i="2" s="1"/>
  <c r="S75" i="2" s="1"/>
  <c r="T75" i="2" s="1"/>
  <c r="P76" i="2"/>
  <c r="R76" i="2" s="1"/>
  <c r="S76" i="2" s="1"/>
  <c r="T76" i="2" s="1"/>
  <c r="P77" i="2"/>
  <c r="R77" i="2" s="1"/>
  <c r="S77" i="2" s="1"/>
  <c r="T77" i="2" s="1"/>
  <c r="P78" i="2"/>
  <c r="R78" i="2" s="1"/>
  <c r="S78" i="2" s="1"/>
  <c r="T78" i="2" s="1"/>
  <c r="P79" i="2"/>
  <c r="R79" i="2" s="1"/>
  <c r="S79" i="2" s="1"/>
  <c r="T79" i="2" s="1"/>
  <c r="P80" i="2"/>
  <c r="R80" i="2" s="1"/>
  <c r="S80" i="2" s="1"/>
  <c r="T80" i="2" s="1"/>
  <c r="P81" i="2"/>
  <c r="R81" i="2" s="1"/>
  <c r="S81" i="2" s="1"/>
  <c r="T81" i="2" s="1"/>
  <c r="P82" i="2"/>
  <c r="R82" i="2" s="1"/>
  <c r="S82" i="2" s="1"/>
  <c r="T82" i="2" s="1"/>
  <c r="P83" i="2"/>
  <c r="R83" i="2" s="1"/>
  <c r="S83" i="2" s="1"/>
  <c r="T83" i="2" s="1"/>
  <c r="P84" i="2"/>
  <c r="R84" i="2" s="1"/>
  <c r="S84" i="2" s="1"/>
  <c r="T84" i="2" s="1"/>
  <c r="P85" i="2"/>
  <c r="R85" i="2" s="1"/>
  <c r="S85" i="2" s="1"/>
  <c r="T85" i="2" s="1"/>
  <c r="P86" i="2"/>
  <c r="R86" i="2" s="1"/>
  <c r="S86" i="2" s="1"/>
  <c r="T86" i="2" s="1"/>
  <c r="P87" i="2"/>
  <c r="R87" i="2" s="1"/>
  <c r="S87" i="2" s="1"/>
  <c r="T87" i="2" s="1"/>
  <c r="P88" i="2"/>
  <c r="R88" i="2" s="1"/>
  <c r="S88" i="2" s="1"/>
  <c r="T88" i="2" s="1"/>
  <c r="P89" i="2"/>
  <c r="R89" i="2" s="1"/>
  <c r="S89" i="2" s="1"/>
  <c r="T89" i="2" s="1"/>
  <c r="P90" i="2"/>
  <c r="R90" i="2" s="1"/>
  <c r="S90" i="2" s="1"/>
  <c r="T90" i="2" s="1"/>
  <c r="P91" i="2"/>
  <c r="R91" i="2" s="1"/>
  <c r="S91" i="2" s="1"/>
  <c r="T91" i="2" s="1"/>
  <c r="P92" i="2"/>
  <c r="R92" i="2" s="1"/>
  <c r="S92" i="2" s="1"/>
  <c r="T92" i="2" s="1"/>
  <c r="P93" i="2"/>
  <c r="R93" i="2" s="1"/>
  <c r="S93" i="2" s="1"/>
  <c r="T93" i="2" s="1"/>
  <c r="P94" i="2"/>
  <c r="R94" i="2" s="1"/>
  <c r="S94" i="2" s="1"/>
  <c r="T94" i="2" s="1"/>
  <c r="P95" i="2"/>
  <c r="R95" i="2" s="1"/>
  <c r="S95" i="2" s="1"/>
  <c r="T95" i="2" s="1"/>
  <c r="P96" i="2"/>
  <c r="R96" i="2" s="1"/>
  <c r="S96" i="2" s="1"/>
  <c r="T96" i="2" s="1"/>
  <c r="P97" i="2"/>
  <c r="R97" i="2" s="1"/>
  <c r="S97" i="2" s="1"/>
  <c r="T97" i="2" s="1"/>
  <c r="P98" i="2"/>
  <c r="R98" i="2" s="1"/>
  <c r="S98" i="2" s="1"/>
  <c r="T98" i="2" s="1"/>
  <c r="P99" i="2"/>
  <c r="R99" i="2" s="1"/>
  <c r="S99" i="2" s="1"/>
  <c r="T99" i="2" s="1"/>
  <c r="P100" i="2"/>
  <c r="R100" i="2" s="1"/>
  <c r="S100" i="2" s="1"/>
  <c r="T100" i="2" s="1"/>
  <c r="P101" i="2"/>
  <c r="R101" i="2" s="1"/>
  <c r="S101" i="2" s="1"/>
  <c r="T101" i="2" s="1"/>
  <c r="P102" i="2"/>
  <c r="R102" i="2" s="1"/>
  <c r="S102" i="2" s="1"/>
  <c r="T102" i="2" s="1"/>
  <c r="P103" i="2"/>
  <c r="R103" i="2" s="1"/>
  <c r="S103" i="2" s="1"/>
  <c r="T103" i="2" s="1"/>
  <c r="P104" i="2"/>
  <c r="R104" i="2" s="1"/>
  <c r="S104" i="2" s="1"/>
  <c r="T104" i="2" s="1"/>
  <c r="O5" i="2"/>
  <c r="V5" i="2" s="1"/>
  <c r="O6" i="2"/>
  <c r="V6" i="2" s="1"/>
  <c r="O7" i="2"/>
  <c r="V7" i="2" s="1"/>
  <c r="O8" i="2"/>
  <c r="V8" i="2" s="1"/>
  <c r="O9" i="2"/>
  <c r="V9" i="2" s="1"/>
  <c r="O10" i="2"/>
  <c r="V10" i="2" s="1"/>
  <c r="O11" i="2"/>
  <c r="V11" i="2" s="1"/>
  <c r="O12" i="2"/>
  <c r="V12" i="2" s="1"/>
  <c r="O13" i="2"/>
  <c r="V13" i="2" s="1"/>
  <c r="O14" i="2"/>
  <c r="V14" i="2" s="1"/>
  <c r="O15" i="2"/>
  <c r="V15" i="2" s="1"/>
  <c r="O16" i="2"/>
  <c r="V16" i="2" s="1"/>
  <c r="O17" i="2"/>
  <c r="V17" i="2" s="1"/>
  <c r="O18" i="2"/>
  <c r="V18" i="2" s="1"/>
  <c r="O19" i="2"/>
  <c r="V19" i="2" s="1"/>
  <c r="O20" i="2"/>
  <c r="V20" i="2" s="1"/>
  <c r="O21" i="2"/>
  <c r="V21" i="2" s="1"/>
  <c r="O22" i="2"/>
  <c r="V22" i="2" s="1"/>
  <c r="O23" i="2"/>
  <c r="V23" i="2" s="1"/>
  <c r="O24" i="2"/>
  <c r="V24" i="2" s="1"/>
  <c r="O25" i="2"/>
  <c r="V25" i="2" s="1"/>
  <c r="O26" i="2"/>
  <c r="V26" i="2" s="1"/>
  <c r="O27" i="2"/>
  <c r="V27" i="2" s="1"/>
  <c r="O28" i="2"/>
  <c r="V28" i="2" s="1"/>
  <c r="O29" i="2"/>
  <c r="V29" i="2" s="1"/>
  <c r="O30" i="2"/>
  <c r="V30" i="2" s="1"/>
  <c r="O31" i="2"/>
  <c r="V31" i="2" s="1"/>
  <c r="O32" i="2"/>
  <c r="V32" i="2" s="1"/>
  <c r="O33" i="2"/>
  <c r="V33" i="2" s="1"/>
  <c r="O34" i="2"/>
  <c r="V34" i="2" s="1"/>
  <c r="O35" i="2"/>
  <c r="V35" i="2" s="1"/>
  <c r="O36" i="2"/>
  <c r="V36" i="2" s="1"/>
  <c r="O37" i="2"/>
  <c r="V37" i="2" s="1"/>
  <c r="O38" i="2"/>
  <c r="V38" i="2" s="1"/>
  <c r="O39" i="2"/>
  <c r="V39" i="2" s="1"/>
  <c r="O40" i="2"/>
  <c r="V40" i="2" s="1"/>
  <c r="O41" i="2"/>
  <c r="V41" i="2" s="1"/>
  <c r="O42" i="2"/>
  <c r="V42" i="2" s="1"/>
  <c r="O43" i="2"/>
  <c r="V43" i="2" s="1"/>
  <c r="O44" i="2"/>
  <c r="V44" i="2" s="1"/>
  <c r="O45" i="2"/>
  <c r="V45" i="2" s="1"/>
  <c r="O46" i="2"/>
  <c r="V46" i="2" s="1"/>
  <c r="O47" i="2"/>
  <c r="V47" i="2" s="1"/>
  <c r="O48" i="2"/>
  <c r="V48" i="2" s="1"/>
  <c r="O49" i="2"/>
  <c r="V49" i="2" s="1"/>
  <c r="O50" i="2"/>
  <c r="V50" i="2" s="1"/>
  <c r="O51" i="2"/>
  <c r="V51" i="2" s="1"/>
  <c r="O52" i="2"/>
  <c r="V52" i="2" s="1"/>
  <c r="O53" i="2"/>
  <c r="V53" i="2" s="1"/>
  <c r="O54" i="2"/>
  <c r="V54" i="2" s="1"/>
  <c r="O55" i="2"/>
  <c r="V55" i="2" s="1"/>
  <c r="O56" i="2"/>
  <c r="V56" i="2" s="1"/>
  <c r="O57" i="2"/>
  <c r="V57" i="2" s="1"/>
  <c r="O58" i="2"/>
  <c r="V58" i="2" s="1"/>
  <c r="O59" i="2"/>
  <c r="V59" i="2" s="1"/>
  <c r="O60" i="2"/>
  <c r="V60" i="2" s="1"/>
  <c r="O61" i="2"/>
  <c r="V61" i="2" s="1"/>
  <c r="O62" i="2"/>
  <c r="V62" i="2" s="1"/>
  <c r="O63" i="2"/>
  <c r="V63" i="2" s="1"/>
  <c r="O64" i="2"/>
  <c r="V64" i="2" s="1"/>
  <c r="O65" i="2"/>
  <c r="V65" i="2" s="1"/>
  <c r="O66" i="2"/>
  <c r="V66" i="2" s="1"/>
  <c r="O67" i="2"/>
  <c r="V67" i="2" s="1"/>
  <c r="O68" i="2"/>
  <c r="V68" i="2" s="1"/>
  <c r="O69" i="2"/>
  <c r="V69" i="2" s="1"/>
  <c r="O70" i="2"/>
  <c r="V70" i="2" s="1"/>
  <c r="O71" i="2"/>
  <c r="V71" i="2" s="1"/>
  <c r="O72" i="2"/>
  <c r="V72" i="2" s="1"/>
  <c r="O73" i="2"/>
  <c r="V73" i="2" s="1"/>
  <c r="O74" i="2"/>
  <c r="V74" i="2" s="1"/>
  <c r="O75" i="2"/>
  <c r="V75" i="2" s="1"/>
  <c r="O76" i="2"/>
  <c r="V76" i="2" s="1"/>
  <c r="O77" i="2"/>
  <c r="V77" i="2" s="1"/>
  <c r="O78" i="2"/>
  <c r="V78" i="2" s="1"/>
  <c r="O79" i="2"/>
  <c r="V79" i="2" s="1"/>
  <c r="O80" i="2"/>
  <c r="V80" i="2" s="1"/>
  <c r="O81" i="2"/>
  <c r="V81" i="2" s="1"/>
  <c r="O82" i="2"/>
  <c r="V82" i="2" s="1"/>
  <c r="O83" i="2"/>
  <c r="V83" i="2" s="1"/>
  <c r="O84" i="2"/>
  <c r="V84" i="2" s="1"/>
  <c r="O85" i="2"/>
  <c r="V85" i="2" s="1"/>
  <c r="O86" i="2"/>
  <c r="V86" i="2" s="1"/>
  <c r="O87" i="2"/>
  <c r="V87" i="2" s="1"/>
  <c r="O88" i="2"/>
  <c r="V88" i="2" s="1"/>
  <c r="O89" i="2"/>
  <c r="V89" i="2" s="1"/>
  <c r="O90" i="2"/>
  <c r="V90" i="2" s="1"/>
  <c r="O91" i="2"/>
  <c r="V91" i="2" s="1"/>
  <c r="O92" i="2"/>
  <c r="V92" i="2" s="1"/>
  <c r="O93" i="2"/>
  <c r="V93" i="2" s="1"/>
  <c r="O94" i="2"/>
  <c r="V94" i="2" s="1"/>
  <c r="O95" i="2"/>
  <c r="V95" i="2" s="1"/>
  <c r="O96" i="2"/>
  <c r="V96" i="2" s="1"/>
  <c r="O97" i="2"/>
  <c r="V97" i="2" s="1"/>
  <c r="O98" i="2"/>
  <c r="V98" i="2" s="1"/>
  <c r="O99" i="2"/>
  <c r="V99" i="2" s="1"/>
  <c r="O100" i="2"/>
  <c r="V100" i="2" s="1"/>
  <c r="O101" i="2"/>
  <c r="V101" i="2" s="1"/>
  <c r="O102" i="2"/>
  <c r="V102" i="2" s="1"/>
  <c r="O103" i="2"/>
  <c r="V103" i="2" s="1"/>
  <c r="O104" i="2"/>
  <c r="V104" i="2" s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U102" i="2" l="1"/>
  <c r="U98" i="2"/>
  <c r="U94" i="2"/>
  <c r="U90" i="2"/>
  <c r="U86" i="2"/>
  <c r="U82" i="2"/>
  <c r="U78" i="2"/>
  <c r="U74" i="2"/>
  <c r="U70" i="2"/>
  <c r="U66" i="2"/>
  <c r="U62" i="2"/>
  <c r="U58" i="2"/>
  <c r="U54" i="2"/>
  <c r="U50" i="2"/>
  <c r="U46" i="2"/>
  <c r="U42" i="2"/>
  <c r="U38" i="2"/>
  <c r="U34" i="2"/>
  <c r="U30" i="2"/>
  <c r="U26" i="2"/>
  <c r="U22" i="2"/>
  <c r="U18" i="2"/>
  <c r="U14" i="2"/>
  <c r="U10" i="2"/>
  <c r="U6" i="2"/>
  <c r="U101" i="2"/>
  <c r="U97" i="2"/>
  <c r="U93" i="2"/>
  <c r="U89" i="2"/>
  <c r="U85" i="2"/>
  <c r="U81" i="2"/>
  <c r="U77" i="2"/>
  <c r="U73" i="2"/>
  <c r="U69" i="2"/>
  <c r="U65" i="2"/>
  <c r="U61" i="2"/>
  <c r="U57" i="2"/>
  <c r="U53" i="2"/>
  <c r="U49" i="2"/>
  <c r="U45" i="2"/>
  <c r="U41" i="2"/>
  <c r="U37" i="2"/>
  <c r="U33" i="2"/>
  <c r="U29" i="2"/>
  <c r="U25" i="2"/>
  <c r="U21" i="2"/>
  <c r="U17" i="2"/>
  <c r="U13" i="2"/>
  <c r="U9" i="2"/>
  <c r="U5" i="2"/>
  <c r="U104" i="2"/>
  <c r="U100" i="2"/>
  <c r="U96" i="2"/>
  <c r="U92" i="2"/>
  <c r="U88" i="2"/>
  <c r="U84" i="2"/>
  <c r="U80" i="2"/>
  <c r="U76" i="2"/>
  <c r="U72" i="2"/>
  <c r="U68" i="2"/>
  <c r="U64" i="2"/>
  <c r="U60" i="2"/>
  <c r="U56" i="2"/>
  <c r="U52" i="2"/>
  <c r="U48" i="2"/>
  <c r="U44" i="2"/>
  <c r="U40" i="2"/>
  <c r="U36" i="2"/>
  <c r="U32" i="2"/>
  <c r="U28" i="2"/>
  <c r="U24" i="2"/>
  <c r="U20" i="2"/>
  <c r="U16" i="2"/>
  <c r="U12" i="2"/>
  <c r="U8" i="2"/>
  <c r="U103" i="2"/>
  <c r="U99" i="2"/>
  <c r="U95" i="2"/>
  <c r="U91" i="2"/>
  <c r="U87" i="2"/>
  <c r="U83" i="2"/>
  <c r="U79" i="2"/>
  <c r="U75" i="2"/>
  <c r="U71" i="2"/>
  <c r="U67" i="2"/>
  <c r="U63" i="2"/>
  <c r="U59" i="2"/>
  <c r="U55" i="2"/>
  <c r="U51" i="2"/>
  <c r="U47" i="2"/>
  <c r="U43" i="2"/>
  <c r="U39" i="2"/>
  <c r="U35" i="2"/>
  <c r="U31" i="2"/>
  <c r="U27" i="2"/>
  <c r="U23" i="2"/>
  <c r="U19" i="2"/>
  <c r="U15" i="2"/>
  <c r="U11" i="2"/>
  <c r="U7" i="2"/>
</calcChain>
</file>

<file path=xl/sharedStrings.xml><?xml version="1.0" encoding="utf-8"?>
<sst xmlns="http://schemas.openxmlformats.org/spreadsheetml/2006/main" count="642" uniqueCount="216">
  <si>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</si>
  <si>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</si>
  <si>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</si>
  <si>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</si>
  <si>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</si>
  <si>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</si>
  <si>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</si>
  <si>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</si>
  <si>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</si>
  <si>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</si>
  <si>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</si>
  <si>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</si>
  <si>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</si>
  <si>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</si>
  <si>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</si>
  <si>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</si>
  <si>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</si>
  <si>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</si>
  <si>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</si>
  <si>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</si>
  <si>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</si>
  <si>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</si>
  <si>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</si>
  <si>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</si>
  <si>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</si>
  <si>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</si>
  <si>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</si>
  <si>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</si>
  <si>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</si>
  <si>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</si>
  <si>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</si>
  <si>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</si>
  <si>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</si>
  <si>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</si>
  <si>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</si>
  <si>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</si>
  <si>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</si>
  <si>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</si>
  <si>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</si>
  <si>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</si>
  <si>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</si>
  <si>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</si>
  <si>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</si>
  <si>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</si>
  <si>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</si>
  <si>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</si>
  <si>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</si>
  <si>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</si>
  <si>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</si>
  <si>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</si>
  <si>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</si>
  <si>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</si>
  <si>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</si>
  <si>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</si>
  <si>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</si>
  <si>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</si>
  <si>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</si>
  <si>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</si>
  <si>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</si>
  <si>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</si>
  <si>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</si>
  <si>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</si>
  <si>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</si>
  <si>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</si>
  <si>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</si>
  <si>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</si>
  <si>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</si>
  <si>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</si>
  <si>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</si>
  <si>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</si>
  <si>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</si>
  <si>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</si>
  <si>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</si>
  <si>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</si>
  <si>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</si>
  <si>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</si>
  <si>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</si>
  <si>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</si>
  <si>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</si>
  <si>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</si>
  <si>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</si>
  <si>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</si>
  <si>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</si>
  <si>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</si>
  <si>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</si>
  <si>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</si>
  <si>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</si>
  <si>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</si>
  <si>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</si>
  <si>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</si>
  <si>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</si>
  <si>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</si>
  <si>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</si>
  <si>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</si>
  <si>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</si>
  <si>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</si>
  <si>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</si>
  <si>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</si>
  <si>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</si>
  <si>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</si>
  <si>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</si>
  <si>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</si>
  <si>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</si>
  <si>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</si>
  <si>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</si>
  <si>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</si>
  <si>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</si>
  <si>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</si>
  <si>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</si>
  <si>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</si>
  <si>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</si>
  <si>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</si>
  <si>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</si>
  <si>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</si>
  <si>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</si>
  <si>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</si>
  <si>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</si>
  <si>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</si>
  <si>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</si>
  <si>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</si>
  <si>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</si>
  <si>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</si>
  <si>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</si>
  <si>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</si>
  <si>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</si>
  <si>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</si>
  <si>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</si>
  <si>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</si>
  <si>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</si>
  <si>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</si>
  <si>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</si>
  <si>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</si>
  <si>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</si>
  <si>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</si>
  <si>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</si>
  <si>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</si>
  <si>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</si>
  <si>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</si>
  <si>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</si>
  <si>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</si>
  <si>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</si>
  <si>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</si>
  <si>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</si>
  <si>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</si>
  <si>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</si>
  <si>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</si>
  <si>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</si>
  <si>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</si>
  <si>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</si>
  <si>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</si>
  <si>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</si>
  <si>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</si>
  <si>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Catálogo de Productos</t>
  </si>
  <si>
    <t>Unidad de Medida</t>
  </si>
  <si>
    <t>Mercados</t>
  </si>
  <si>
    <t>producto</t>
  </si>
  <si>
    <t xml:space="preserve">Analisis de informacion </t>
  </si>
  <si>
    <t>1 ¿Cuántas operaciones internacionales se realizaron?</t>
  </si>
  <si>
    <t>2 ¿Cuántas operaciones están pendientes?</t>
  </si>
  <si>
    <t>3 ¿Cuál es el país con mayor cantidad de operaciones?</t>
  </si>
  <si>
    <t>4 ¿Cuál es el país que genera mayor valor FOB?</t>
  </si>
  <si>
    <t>5 ¿Cuál es el producto más exportado por unidades?</t>
  </si>
  <si>
    <t>6 ¿Cuál es el producto que genera mayor utilidad?</t>
  </si>
  <si>
    <t>7 ¿Cuál es el mercado con mayor margen promedio?</t>
  </si>
  <si>
    <t>8 ¿Cuántas operaciones tienen rentabilidad alta?</t>
  </si>
  <si>
    <t>9 ¿Cuánto se exportó hacia Centroamérica?</t>
  </si>
  <si>
    <t xml:space="preserve">10 ¿Cuánto se exportó hacia Norteamérica?
</t>
  </si>
  <si>
    <t>11 ¿Cuánto se exportó hacia Europa?</t>
  </si>
  <si>
    <t>12 ¿Qué operaciones tienen prioridad comercial alta?</t>
  </si>
  <si>
    <t>14 ¿Qué operaciones requieren atención por estar pendientes?</t>
  </si>
  <si>
    <t>13 ¿Qué clientes generan mayor valor de exportación?</t>
  </si>
  <si>
    <t>Categoria</t>
  </si>
  <si>
    <t>Clasificación Mercado</t>
  </si>
  <si>
    <t>NicaExport Trading, S.A.</t>
  </si>
  <si>
    <t xml:space="preserve">Operaciones </t>
  </si>
  <si>
    <t>Valor FOB (Free On Board)</t>
  </si>
  <si>
    <t>Costo total</t>
  </si>
  <si>
    <t>Utilidad</t>
  </si>
  <si>
    <t>Margen</t>
  </si>
  <si>
    <t>Funciones condicionales</t>
  </si>
  <si>
    <t>¿Cuántas operaciones se realizaron hacia Estados Unidos?</t>
  </si>
  <si>
    <t>¿Cuántas operaciones están pendientes?</t>
  </si>
  <si>
    <t>¿Cuál es el valor FOB total de las operaciones hacia México?</t>
  </si>
  <si>
    <t>¿Cuál es el total de unidades exportadas hacia Guatemala?</t>
  </si>
  <si>
    <t>Nivel de rentabilidad</t>
  </si>
  <si>
    <t>Nivel de operación</t>
  </si>
  <si>
    <t>Prioridad comercial</t>
  </si>
  <si>
    <t>¿Cuál es el valor FOB de las operaciones de Café especial enviadas a Estados Unidos?</t>
  </si>
  <si>
    <t>¿Cuál es la utilidad obtenida de las operaciones entregadas a clientes de Centroamérica?</t>
  </si>
  <si>
    <t>Se registraron un total de 100 operaciones internacionales dentro de la base de datos de exportaciones de la empresa.</t>
  </si>
  <si>
    <t>Actualmente existen 15 operaciones registradas bajo el estado de "Pendiente", las cuales requieren seguimiento logístico y comercial.</t>
  </si>
  <si>
    <t>El país destino con la mayor cantidad de transacciones es Guatemala, alcanzando un total de 20 operaciones.</t>
  </si>
  <si>
    <t>El mercado comercial que genera el mayor ingreso en valor FOB es Estados Unidos, sumando un total de $168,745.00 USD.</t>
  </si>
  <si>
    <t>El producto líder en volumen de exportación es el Café especial, acumulando un total de 26,180 unidades enviadas.</t>
  </si>
  <si>
    <t>El Café especial es también el producto más rentable de la empresa, aportando un total de $62,832.00 USD en utilidad.</t>
  </si>
  <si>
    <t>El mercado con el mejor margen de ganancia promedio es Estados Unidos, registrante de un rendimiento promedio del 33.04%.</t>
  </si>
  <si>
    <t>Las exportaciones con destino a la región de Centroamérica acumularon un valor total FOB de $232,879.00 USD</t>
  </si>
  <si>
    <t>El bloque comercial de Norteamérica registró el mayor volumen de ventas de la empresa, alcanzando un valor FOB de $289,058.00 USD.</t>
  </si>
  <si>
    <t>Un total de 48 operaciones han sido priorizadas con nivel "Alto" por tratarse de productos estratégicos con elevado rendimiento económico.</t>
  </si>
  <si>
    <t>El cliente principal de la empresa es Global Foods, registrando la mayor concentración de compras con un valor total de $168,745.00 USD.</t>
  </si>
  <si>
    <t>Etiquetas de fila</t>
  </si>
  <si>
    <t>Total general</t>
  </si>
  <si>
    <t>Suma de Valor FOB (Free On Board)</t>
  </si>
  <si>
    <t>Pais Destino</t>
  </si>
  <si>
    <t>Suma de Utilidad</t>
  </si>
  <si>
    <t>Utilidad por producto</t>
  </si>
  <si>
    <t>Valor FOB por país</t>
  </si>
  <si>
    <t>Ventas por región</t>
  </si>
  <si>
    <t>Operaciones por clasificación de prioridad</t>
  </si>
  <si>
    <t>Alta</t>
  </si>
  <si>
    <t>Baja</t>
  </si>
  <si>
    <t>Media</t>
  </si>
  <si>
    <t>Cuenta de ID_Operación</t>
  </si>
  <si>
    <t>Estados Unidos se posiciona como el mercado comercial más valioso para la empresa con un volumen total de $168,745.00 USD en exportaciones, seguido por España ($136,328.00 USD) y México ($120,313.00 USD). Costa Rica registra la menor participación monetaria con $113,544.00 USD, manteniendo una distribución relativamente equilibrada entre los cinco destinos principales.</t>
  </si>
  <si>
    <t>El producto estrella de la compañía es el Café Especial, generando la mayor utilidad neta con $62,832.00 USD. Le siguen el Aceite de Ajonjolí ($42,218.00 USD) y la Miel Natural ($38,688.00 USD). El Maní Procesado registra el aporte más bajo en ganancia total ($33,534.00 USD), representando una oportunidad para revisar márgenes o costos de producción.</t>
  </si>
  <si>
    <r>
      <t xml:space="preserve">Norteamérica constituye el principal mercado regional representando el </t>
    </r>
    <r>
      <rPr>
        <b/>
        <sz val="11"/>
        <color theme="1"/>
        <rFont val="Calibri"/>
        <family val="2"/>
        <scheme val="minor"/>
      </rPr>
      <t>43.9%</t>
    </r>
    <r>
      <rPr>
        <sz val="11"/>
        <color theme="1"/>
        <rFont val="Calibri"/>
        <family val="2"/>
        <scheme val="minor"/>
      </rPr>
      <t xml:space="preserve"> del valor FOB total ($289,058.00 USD), seguido por Centroamérica con el </t>
    </r>
    <r>
      <rPr>
        <b/>
        <sz val="11"/>
        <color theme="1"/>
        <rFont val="Calibri"/>
        <family val="2"/>
        <scheme val="minor"/>
      </rPr>
      <t>35.4%</t>
    </r>
    <r>
      <rPr>
        <sz val="11"/>
        <color theme="1"/>
        <rFont val="Calibri"/>
        <family val="2"/>
        <scheme val="minor"/>
      </rPr>
      <t xml:space="preserve"> ($232,879.00 USD) y Europa con el </t>
    </r>
    <r>
      <rPr>
        <b/>
        <sz val="11"/>
        <color theme="1"/>
        <rFont val="Calibri"/>
        <family val="2"/>
        <scheme val="minor"/>
      </rPr>
      <t>20.7%</t>
    </r>
    <r>
      <rPr>
        <sz val="11"/>
        <color theme="1"/>
        <rFont val="Calibri"/>
        <family val="2"/>
        <scheme val="minor"/>
      </rPr>
      <t xml:space="preserve"> ($136,328.00 USD). Se evidencia una fuerte concentración del comercio en el continente americano, abarcando casi el 80% del total exportado.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</si>
</sst>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3" borderId="0" xfId="0" applyFill="1"/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9" fontId="3" fillId="4" borderId="1" xfId="2" applyFont="1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43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0" fontId="0" fillId="3" borderId="0" xfId="0" applyFill="1" applyAlignment="1">
      <alignment horizontal="left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44" fontId="0" fillId="0" borderId="0" xfId="3" applyFont="1" applyAlignment="1">
      <alignment horizontal="center"/>
    </xf>
    <xf numFmtId="44" fontId="3" fillId="4" borderId="6" xfId="3" applyFont="1" applyFill="1" applyBorder="1" applyAlignment="1">
      <alignment horizontal="center"/>
    </xf>
    <xf numFmtId="44" fontId="0" fillId="0" borderId="4" xfId="3" applyFont="1" applyFill="1" applyBorder="1" applyAlignment="1">
      <alignment horizontal="center"/>
    </xf>
    <xf numFmtId="44" fontId="0" fillId="0" borderId="1" xfId="3" applyFont="1" applyFill="1" applyBorder="1" applyAlignment="1">
      <alignment horizontal="center"/>
    </xf>
    <xf numFmtId="44" fontId="0" fillId="0" borderId="1" xfId="3" applyFont="1" applyBorder="1" applyAlignment="1">
      <alignment horizontal="center"/>
    </xf>
    <xf numFmtId="44" fontId="0" fillId="0" borderId="5" xfId="3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Fill="1" applyAlignment="1">
      <alignment horizontal="center"/>
    </xf>
    <xf numFmtId="9" fontId="0" fillId="0" borderId="0" xfId="2" applyFont="1" applyAlignment="1">
      <alignment horizontal="center"/>
    </xf>
    <xf numFmtId="9" fontId="3" fillId="4" borderId="6" xfId="2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43" fontId="0" fillId="0" borderId="0" xfId="1" applyFont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5" fillId="0" borderId="0" xfId="0" applyFont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1" xfId="0" pivotButton="1" applyBorder="1"/>
    <xf numFmtId="0" fontId="0" fillId="0" borderId="1" xfId="0" applyBorder="1" applyAlignment="1">
      <alignment horizontal="left" vertical="top"/>
    </xf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6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alignment vertical="top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numFmt numFmtId="164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43506"/>
      <color rgb="FF351903"/>
      <color rgb="FFCE8308"/>
      <color rgb="FFEDE383"/>
      <color rgb="FF8DA432"/>
      <color rgb="FF6B9C08"/>
      <color rgb="FF365004"/>
      <color rgb="FFFFFF99"/>
      <color rgb="FF99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Trading.xlsx]4.Analisis!TablaDinámica1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 NicaExport Trading, S.A.</a:t>
            </a:r>
          </a:p>
          <a:p>
            <a:pPr>
              <a:defRPr b="1"/>
            </a:pPr>
            <a:r>
              <a:rPr lang="en-US" sz="1400" b="1" i="0" u="none" strike="noStrike" baseline="0"/>
              <a:t>Valor FOB Total por País Destino</a:t>
            </a:r>
            <a:endParaRPr lang="en-US" b="1"/>
          </a:p>
        </c:rich>
      </c:tx>
      <c:layout>
        <c:manualLayout>
          <c:xMode val="edge"/>
          <c:yMode val="edge"/>
          <c:x val="0.36994657168299205"/>
          <c:y val="3.8692350065928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095911541778559"/>
          <c:y val="0.16764649433065881"/>
          <c:w val="0.64168390349247306"/>
          <c:h val="0.691792229674994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'4.Analisis'!$E$2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85-4AFD-8732-E6827821E2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85-4AFD-8732-E6827821E2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85-4AFD-8732-E6827821E2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85-4AFD-8732-E6827821E2C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85-4AFD-8732-E6827821E2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'4.Analisis'!$D$3:$D$8</c:f>
              <c:strCache>
                <c:ptCount val="5"/>
                <c:pt idx="0">
                  <c:v>Costa Rica</c:v>
                </c:pt>
                <c:pt idx="1">
                  <c:v>EE.UU.</c:v>
                </c:pt>
                <c:pt idx="2">
                  <c:v>España</c:v>
                </c:pt>
                <c:pt idx="3">
                  <c:v>Guatemala</c:v>
                </c:pt>
                <c:pt idx="4">
                  <c:v>México</c:v>
                </c:pt>
              </c:strCache>
            </c:strRef>
          </c:cat>
          <c:val>
            <c:numRef>
              <c:f>'4.Analisis'!$E$3:$E$8</c:f>
              <c:numCache>
                <c:formatCode>_([$$-409]* #,##0.00_);_([$$-409]* \(#,##0.00\);_([$$-409]* "-"??_);_(@_)</c:formatCode>
                <c:ptCount val="5"/>
                <c:pt idx="0">
                  <c:v>113544</c:v>
                </c:pt>
                <c:pt idx="1">
                  <c:v>168745</c:v>
                </c:pt>
                <c:pt idx="2">
                  <c:v>136328</c:v>
                </c:pt>
                <c:pt idx="3">
                  <c:v>119335</c:v>
                </c:pt>
                <c:pt idx="4">
                  <c:v>120313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5-4AFD-8732-E6827821E2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5915583"/>
        <c:axId val="37156015"/>
      </c:barChart>
      <c:catAx>
        <c:axId val="525915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Paises</a:t>
                </a:r>
                <a:r>
                  <a:rPr lang="en-US" baseline="0"/>
                  <a:t> Destino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6015"/>
        <c:crosses val="autoZero"/>
        <c:auto val="1"/>
        <c:lblAlgn val="ctr"/>
        <c:lblOffset val="100"/>
        <c:noMultiLvlLbl val="0"/>
      </c:catAx>
      <c:valAx>
        <c:axId val="3715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</a:t>
                </a:r>
                <a:r>
                  <a:rPr lang="en-US" baseline="0"/>
                  <a:t> FOB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1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Trading.xlsx]4.Analisis!TablaDinámica2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NicaExport Trading, S.A.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i="0" u="none" strike="noStrike" baseline="0"/>
              <a:t>Utilidad Total Generada por Producto</a:t>
            </a:r>
            <a:endParaRPr lang="en-US" b="1"/>
          </a:p>
        </c:rich>
      </c:tx>
      <c:layout>
        <c:manualLayout>
          <c:xMode val="edge"/>
          <c:yMode val="edge"/>
          <c:x val="0.30518092290306692"/>
          <c:y val="3.4649728001905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E383"/>
          </a:solidFill>
          <a:ln>
            <a:noFill/>
          </a:ln>
          <a:effectLst/>
        </c:spPr>
        <c:dLbl>
          <c:idx val="0"/>
          <c:layout>
            <c:manualLayout>
              <c:x val="5.8367149148515725E-17"/>
              <c:y val="-2.5715204114432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DA43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57152041144327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B9C08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2857602057216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E8308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89296046287367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43506"/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dLbl>
          <c:idx val="0"/>
          <c:layout>
            <c:manualLayout>
              <c:x val="0"/>
              <c:y val="-9.643201542912305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2972196527009"/>
          <c:y val="0.17987633416604024"/>
          <c:w val="0.7153593444085965"/>
          <c:h val="0.645958334282467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'4.Analisis'!$E$11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B9C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93-4F88-9560-AB8898BD3A66}"/>
              </c:ext>
            </c:extLst>
          </c:dPt>
          <c:dPt>
            <c:idx val="1"/>
            <c:invertIfNegative val="0"/>
            <c:bubble3D val="0"/>
            <c:spPr>
              <a:solidFill>
                <a:srgbClr val="8DA4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93-4F88-9560-AB8898BD3A66}"/>
              </c:ext>
            </c:extLst>
          </c:dPt>
          <c:dPt>
            <c:idx val="2"/>
            <c:invertIfNegative val="0"/>
            <c:bubble3D val="0"/>
            <c:spPr>
              <a:solidFill>
                <a:srgbClr val="EDE3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93-4F88-9560-AB8898BD3A66}"/>
              </c:ext>
            </c:extLst>
          </c:dPt>
          <c:dPt>
            <c:idx val="3"/>
            <c:invertIfNegative val="0"/>
            <c:bubble3D val="0"/>
            <c:spPr>
              <a:solidFill>
                <a:srgbClr val="CE8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93-4F88-9560-AB8898BD3A66}"/>
              </c:ext>
            </c:extLst>
          </c:dPt>
          <c:dPt>
            <c:idx val="4"/>
            <c:invertIfNegative val="0"/>
            <c:bubble3D val="0"/>
            <c:spPr>
              <a:solidFill>
                <a:srgbClr val="743506"/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93-4F88-9560-AB8898BD3A66}"/>
              </c:ext>
            </c:extLst>
          </c:dPt>
          <c:dLbls>
            <c:dLbl>
              <c:idx val="0"/>
              <c:layout>
                <c:manualLayout>
                  <c:x val="0"/>
                  <c:y val="-1.28576020572163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93-4F88-9560-AB8898BD3A66}"/>
                </c:ext>
              </c:extLst>
            </c:dLbl>
            <c:dLbl>
              <c:idx val="1"/>
              <c:layout>
                <c:manualLayout>
                  <c:x val="0"/>
                  <c:y val="-2.57152041144327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93-4F88-9560-AB8898BD3A66}"/>
                </c:ext>
              </c:extLst>
            </c:dLbl>
            <c:dLbl>
              <c:idx val="2"/>
              <c:layout>
                <c:manualLayout>
                  <c:x val="5.8367149148515725E-17"/>
                  <c:y val="-2.57152041144326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93-4F88-9560-AB8898BD3A66}"/>
                </c:ext>
              </c:extLst>
            </c:dLbl>
            <c:dLbl>
              <c:idx val="3"/>
              <c:layout>
                <c:manualLayout>
                  <c:x val="0"/>
                  <c:y val="-2.89296046287367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93-4F88-9560-AB8898BD3A66}"/>
                </c:ext>
              </c:extLst>
            </c:dLbl>
            <c:dLbl>
              <c:idx val="4"/>
              <c:layout>
                <c:manualLayout>
                  <c:x val="0"/>
                  <c:y val="-9.64320154291230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93-4F88-9560-AB8898BD3A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'4.Analisis'!$D$12:$D$17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'4.Analisis'!$E$12:$E$17</c:f>
              <c:numCache>
                <c:formatCode>_([$$-409]* #,##0.00_);_([$$-409]* \(#,##0.00\);_([$$-409]* "-"??_);_(@_)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3-4F88-9560-AB8898BD3A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785087"/>
        <c:axId val="33922863"/>
      </c:barChart>
      <c:catAx>
        <c:axId val="6578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Productos</a:t>
                </a:r>
              </a:p>
            </c:rich>
          </c:tx>
          <c:layout>
            <c:manualLayout>
              <c:xMode val="edge"/>
              <c:yMode val="edge"/>
              <c:x val="0.46495298402885887"/>
              <c:y val="0.90040319212750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2863"/>
        <c:crosses val="autoZero"/>
        <c:auto val="1"/>
        <c:lblAlgn val="ctr"/>
        <c:lblOffset val="100"/>
        <c:noMultiLvlLbl val="0"/>
      </c:catAx>
      <c:valAx>
        <c:axId val="339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Utilidades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5918497293855461E-2"/>
              <c:y val="0.36797115645018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Trading.xlsx]4.Analisis!TablaDinámica3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NicaExport Trading, S.A.</a:t>
            </a:r>
          </a:p>
          <a:p>
            <a:pPr>
              <a:defRPr/>
            </a:pPr>
            <a:r>
              <a:rPr lang="en-US" sz="1400" b="1" i="0" u="none" strike="noStrike" baseline="0"/>
              <a:t>Distribución del Valor FOB por Región Comercial</a:t>
            </a:r>
            <a:endParaRPr lang="en-US" b="1"/>
          </a:p>
        </c:rich>
      </c:tx>
      <c:layout>
        <c:manualLayout>
          <c:xMode val="edge"/>
          <c:yMode val="edge"/>
          <c:x val="0.2830977148315974"/>
          <c:y val="3.5899891725218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FF99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CC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3312428805607361E-2"/>
              <c:y val="-8.427516172093913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9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024845585620793E-17"/>
              <c:y val="0.10113019406512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9FF9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215947569732673E-2"/>
              <c:y val="2.809172057364569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108450594749108"/>
          <c:y val="0.16722315554076006"/>
          <c:w val="0.43141652494924798"/>
          <c:h val="0.74030465139170154"/>
        </c:manualLayout>
      </c:layout>
      <c:doughnutChart>
        <c:varyColors val="1"/>
        <c:ser>
          <c:idx val="0"/>
          <c:order val="0"/>
          <c:tx>
            <c:strRef>
              <c:f>'4.Analisis'!$H$2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99"/>
            </a:solidFill>
          </c:spPr>
          <c:dPt>
            <c:idx val="0"/>
            <c:bubble3D val="0"/>
            <c:spPr>
              <a:solidFill>
                <a:srgbClr val="99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8C-4FCB-A1A9-A64AD90FD3A0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8C-4FCB-A1A9-A64AD90FD3A0}"/>
              </c:ext>
            </c:extLst>
          </c:dPt>
          <c:dPt>
            <c:idx val="2"/>
            <c:bubble3D val="0"/>
            <c:spPr>
              <a:solidFill>
                <a:srgbClr val="99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8C-4FCB-A1A9-A64AD90FD3A0}"/>
              </c:ext>
            </c:extLst>
          </c:dPt>
          <c:dLbls>
            <c:dLbl>
              <c:idx val="0"/>
              <c:layout>
                <c:manualLayout>
                  <c:x val="9.3312428805607361E-2"/>
                  <c:y val="-8.42751617209391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8C-4FCB-A1A9-A64AD90FD3A0}"/>
                </c:ext>
              </c:extLst>
            </c:dLbl>
            <c:dLbl>
              <c:idx val="1"/>
              <c:layout>
                <c:manualLayout>
                  <c:x val="-6.0024845585620793E-17"/>
                  <c:y val="0.10113019406512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8C-4FCB-A1A9-A64AD90FD3A0}"/>
                </c:ext>
              </c:extLst>
            </c:dLbl>
            <c:dLbl>
              <c:idx val="2"/>
              <c:layout>
                <c:manualLayout>
                  <c:x val="-8.0215947569732673E-2"/>
                  <c:y val="2.80917205736456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8C-4FCB-A1A9-A64AD90FD3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'4.Analisis'!$G$3:$G$6</c:f>
              <c:strCache>
                <c:ptCount val="3"/>
                <c:pt idx="0">
                  <c:v>Centroamérica</c:v>
                </c:pt>
                <c:pt idx="1">
                  <c:v>Europa</c:v>
                </c:pt>
                <c:pt idx="2">
                  <c:v>Norteamérica</c:v>
                </c:pt>
              </c:strCache>
            </c:strRef>
          </c:cat>
          <c:val>
            <c:numRef>
              <c:f>'4.Analisis'!$H$3:$H$6</c:f>
              <c:numCache>
                <c:formatCode>_([$$-409]* #,##0.00_);_([$$-409]* \(#,##0.00\);_([$$-409]* "-"??_);_(@_)</c:formatCode>
                <c:ptCount val="3"/>
                <c:pt idx="0">
                  <c:v>232879</c:v>
                </c:pt>
                <c:pt idx="1">
                  <c:v>136328</c:v>
                </c:pt>
                <c:pt idx="2">
                  <c:v>289058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8C-4FCB-A1A9-A64AD90FD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58362096823989"/>
          <c:y val="0.47291195015157361"/>
          <c:w val="0.11720809316135522"/>
          <c:h val="0.18303127360561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1</xdr:row>
      <xdr:rowOff>118110</xdr:rowOff>
    </xdr:from>
    <xdr:to>
      <xdr:col>11</xdr:col>
      <xdr:colOff>533400</xdr:colOff>
      <xdr:row>23</xdr:row>
      <xdr:rowOff>106680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742FE870-0764-508B-F585-04E61ACD4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754380</xdr:colOff>
      <xdr:row>1</xdr:row>
      <xdr:rowOff>133350</xdr:rowOff>
    </xdr:from>
    <xdr:to>
      <xdr:col>23</xdr:col>
      <xdr:colOff>15240</xdr:colOff>
      <xdr:row>23</xdr:row>
      <xdr:rowOff>60960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D8B13270-713B-0B5B-5A37-2C3295A45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246</xdr:colOff>
      <xdr:row>26</xdr:row>
      <xdr:rowOff>169005</xdr:rowOff>
    </xdr:from>
    <xdr:to>
      <xdr:col>18</xdr:col>
      <xdr:colOff>246</xdr:colOff>
      <xdr:row>51</xdr:row>
      <xdr:rowOff>28740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965B4191-1739-2C6B-07D0-7D9F193DC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8.765515624997" createdVersion="8" refreshedVersion="8" minRefreshableVersion="3" recordCount="100" xr:uid="{FD00CFB8-C409-4D02-8FAE-521C8CC33F71}">
  <cacheSource type="worksheet">
    <worksheetSource name="Tabla1"/>
  </cacheSource>
  <cacheFields count="21">
    <cacheField name="ID_Operación" numFmtId="0">
      <sharedItems count="100">
        <s v="EX001"/>
        <s v="EX002"/>
        <s v="EX003"/>
        <s v="EX004"/>
        <s v="EX005"/>
        <s v="EX006"/>
        <s v="EX007"/>
        <s v="EX008"/>
        <s v="EX009"/>
        <s v="EX010"/>
        <s v="EX011"/>
        <s v="EX012"/>
        <s v="EX013"/>
        <s v="EX014"/>
        <s v="EX015"/>
        <s v="EX016"/>
        <s v="EX017"/>
        <s v="EX018"/>
        <s v="EX019"/>
        <s v="EX020"/>
        <s v="EX021"/>
        <s v="EX022"/>
        <s v="EX023"/>
        <s v="EX024"/>
        <s v="EX025"/>
        <s v="EX026"/>
        <s v="EX027"/>
        <s v="EX028"/>
        <s v="EX029"/>
        <s v="EX030"/>
        <s v="EX031"/>
        <s v="EX032"/>
        <s v="EX033"/>
        <s v="EX034"/>
        <s v="EX035"/>
        <s v="EX036"/>
        <s v="EX037"/>
        <s v="EX038"/>
        <s v="EX039"/>
        <s v="EX040"/>
        <s v="EX041"/>
        <s v="EX042"/>
        <s v="EX043"/>
        <s v="EX044"/>
        <s v="EX045"/>
        <s v="EX046"/>
        <s v="EX047"/>
        <s v="EX048"/>
        <s v="EX049"/>
        <s v="EX050"/>
        <s v="EX051"/>
        <s v="EX052"/>
        <s v="EX053"/>
        <s v="EX054"/>
        <s v="EX055"/>
        <s v="EX056"/>
        <s v="EX057"/>
        <s v="EX058"/>
        <s v="EX059"/>
        <s v="EX060"/>
        <s v="EX061"/>
        <s v="EX062"/>
        <s v="EX063"/>
        <s v="EX064"/>
        <s v="EX065"/>
        <s v="EX066"/>
        <s v="EX067"/>
        <s v="EX068"/>
        <s v="EX069"/>
        <s v="EX070"/>
        <s v="EX071"/>
        <s v="EX072"/>
        <s v="EX073"/>
        <s v="EX074"/>
        <s v="EX075"/>
        <s v="EX076"/>
        <s v="EX077"/>
        <s v="EX078"/>
        <s v="EX079"/>
        <s v="EX080"/>
        <s v="EX081"/>
        <s v="EX082"/>
        <s v="EX083"/>
        <s v="EX084"/>
        <s v="EX085"/>
        <s v="EX086"/>
        <s v="EX087"/>
        <s v="EX088"/>
        <s v="EX089"/>
        <s v="EX090"/>
        <s v="EX091"/>
        <s v="EX092"/>
        <s v="EX093"/>
        <s v="EX094"/>
        <s v="EX095"/>
        <s v="EX096"/>
        <s v="EX097"/>
        <s v="EX098"/>
        <s v="EX099"/>
        <s v="EX100"/>
      </sharedItems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Unidades" numFmtId="0">
      <sharedItems containsSemiMixedTypes="0" containsString="0" containsNumber="1" containsInteger="1" minValue="450" maxValue="1550"/>
    </cacheField>
    <cacheField name="Precio FOB" numFmtId="164">
      <sharedItems containsSemiMixedTypes="0" containsString="0" containsNumber="1" minValue="4.8" maxValue="12.5"/>
    </cacheField>
    <cacheField name="Costo Unitario" numFmtId="0">
      <sharedItems containsSemiMixedTypes="0" containsString="0" containsNumber="1" minValue="3.2" maxValue="8.6999999999999993"/>
    </cacheField>
    <cacheField name="Estado" numFmtId="0">
      <sharedItems/>
    </cacheField>
    <cacheField name="producto" numFmtId="0">
      <sharedItems count="5">
        <s v="Miel natural"/>
        <s v="Café especial"/>
        <s v="Maní procesado"/>
        <s v="Cacao en grano"/>
        <s v="Aceite de ajonjolí"/>
      </sharedItems>
    </cacheField>
    <cacheField name="Categoria" numFmtId="0">
      <sharedItems/>
    </cacheField>
    <cacheField name="Región" numFmtId="0">
      <sharedItems count="3">
        <s v="Centroamérica"/>
        <s v="Norteamérica"/>
        <s v="Europa"/>
      </sharedItems>
    </cacheField>
    <cacheField name="Arancel %" numFmtId="9">
      <sharedItems containsSemiMixedTypes="0" containsString="0" containsNumber="1" minValue="0.02" maxValue="0.1"/>
    </cacheField>
    <cacheField name="Clasificación Mercado" numFmtId="0">
      <sharedItems/>
    </cacheField>
    <cacheField name="Valor FOB (Free On Board)" numFmtId="164">
      <sharedItems containsSemiMixedTypes="0" containsString="0" containsNumber="1" minValue="2976" maxValue="10659.999999999998"/>
    </cacheField>
    <cacheField name="Costo total" numFmtId="44">
      <sharedItems containsSemiMixedTypes="0" containsString="0" containsNumber="1" minValue="1984" maxValue="7670.0000000000009"/>
    </cacheField>
    <cacheField name="Utilidad" numFmtId="164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rentabilidad" numFmtId="164">
      <sharedItems/>
    </cacheField>
    <cacheField name="Nivel de operación" numFmtId="164">
      <sharedItems/>
    </cacheField>
    <cacheField name="Prioridad comercial" numFmtId="164">
      <sharedItems count="3">
        <s v="Alta"/>
        <s v="Media"/>
        <s v="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6-01-05T00:00:00"/>
    <s v="Comercial Maya"/>
    <s v="P003"/>
    <x v="0"/>
    <n v="850"/>
    <n v="4.8"/>
    <n v="3.2"/>
    <s v="Embarcado"/>
    <x v="0"/>
    <s v="Apícola"/>
    <x v="0"/>
    <n v="0.03"/>
    <s v="Estratégico"/>
    <n v="4080"/>
    <n v="2720"/>
    <n v="1360"/>
    <n v="0.33333333333333331"/>
    <s v="Alta"/>
    <s v="Pequeña"/>
    <x v="0"/>
  </r>
  <r>
    <x v="1"/>
    <d v="2026-01-12T00:00:00"/>
    <s v="Global Foods"/>
    <s v="P001"/>
    <x v="1"/>
    <n v="1200"/>
    <n v="6.5"/>
    <n v="4.0999999999999996"/>
    <s v="Entregado"/>
    <x v="1"/>
    <s v="Café"/>
    <x v="1"/>
    <n v="0.05"/>
    <s v="Estratégico"/>
    <n v="7800"/>
    <n v="4920"/>
    <n v="2880"/>
    <n v="0.36923076923076925"/>
    <s v="Alta"/>
    <s v="Mediana"/>
    <x v="0"/>
  </r>
  <r>
    <x v="2"/>
    <d v="2026-01-20T00:00:00"/>
    <s v="Distribuidora Tica"/>
    <s v="P004"/>
    <x v="2"/>
    <n v="650"/>
    <n v="8.1999999999999993"/>
    <n v="5.9"/>
    <s v="Embarcado"/>
    <x v="2"/>
    <s v="Semillas"/>
    <x v="0"/>
    <n v="0.02"/>
    <s v="Estratégico"/>
    <n v="5329.9999999999991"/>
    <n v="3835.0000000000005"/>
    <n v="1494.9999999999986"/>
    <n v="0.28048780487804859"/>
    <s v="Media"/>
    <s v="Mediana"/>
    <x v="1"/>
  </r>
  <r>
    <x v="3"/>
    <d v="2026-02-03T00:00:00"/>
    <s v="Iberia Foods"/>
    <s v="P002"/>
    <x v="3"/>
    <n v="950"/>
    <n v="7.1"/>
    <n v="4.8"/>
    <s v="Pendiente"/>
    <x v="3"/>
    <s v="Cacao"/>
    <x v="2"/>
    <n v="0.1"/>
    <s v="Potencial"/>
    <n v="6745"/>
    <n v="4560"/>
    <n v="2185"/>
    <n v="0.323943661971831"/>
    <s v="Alta"/>
    <s v="Mediana"/>
    <x v="1"/>
  </r>
  <r>
    <x v="4"/>
    <d v="2026-02-15T00:00:00"/>
    <s v="Comercial Azteca"/>
    <s v="P005"/>
    <x v="4"/>
    <n v="500"/>
    <n v="12.5"/>
    <n v="8.6999999999999993"/>
    <s v="Entregado"/>
    <x v="4"/>
    <s v="Aceites"/>
    <x v="1"/>
    <n v="0.08"/>
    <s v="Potencial"/>
    <n v="6250"/>
    <n v="4350"/>
    <n v="1900"/>
    <n v="0.30399999999999999"/>
    <s v="Alta"/>
    <s v="Mediana"/>
    <x v="1"/>
  </r>
  <r>
    <x v="5"/>
    <d v="2026-02-28T00:00:00"/>
    <s v="Global Foods"/>
    <s v="P003"/>
    <x v="1"/>
    <n v="1400"/>
    <n v="4.8"/>
    <n v="3.2"/>
    <s v="Entregado"/>
    <x v="0"/>
    <s v="Apícola"/>
    <x v="1"/>
    <n v="0.05"/>
    <s v="Estratégico"/>
    <n v="6720"/>
    <n v="4480"/>
    <n v="2240"/>
    <n v="0.33333333333333331"/>
    <s v="Alta"/>
    <s v="Mediana"/>
    <x v="0"/>
  </r>
  <r>
    <x v="6"/>
    <d v="2026-03-08T00:00:00"/>
    <s v="Distribuidora Tica"/>
    <s v="P001"/>
    <x v="2"/>
    <n v="900"/>
    <n v="6.5"/>
    <n v="4.0999999999999996"/>
    <s v="Embarcado"/>
    <x v="1"/>
    <s v="Café"/>
    <x v="0"/>
    <n v="0.02"/>
    <s v="Estratégico"/>
    <n v="5850"/>
    <n v="3689.9999999999995"/>
    <n v="2160.0000000000005"/>
    <n v="0.36923076923076931"/>
    <s v="Alta"/>
    <s v="Mediana"/>
    <x v="0"/>
  </r>
  <r>
    <x v="7"/>
    <d v="2026-03-18T00:00:00"/>
    <s v="Comercial Maya"/>
    <s v="P004"/>
    <x v="0"/>
    <n v="750"/>
    <n v="8.1999999999999993"/>
    <n v="5.9"/>
    <s v="Entregado"/>
    <x v="2"/>
    <s v="Semillas"/>
    <x v="0"/>
    <n v="0.03"/>
    <s v="Estratégico"/>
    <n v="6149.9999999999991"/>
    <n v="4425"/>
    <n v="1724.9999999999991"/>
    <n v="0.2804878048780487"/>
    <s v="Media"/>
    <s v="Mediana"/>
    <x v="1"/>
  </r>
  <r>
    <x v="8"/>
    <d v="2026-03-25T00:00:00"/>
    <s v="Iberia Foods"/>
    <s v="P005"/>
    <x v="3"/>
    <n v="600"/>
    <n v="12.5"/>
    <n v="8.6999999999999993"/>
    <s v="Embarcado"/>
    <x v="4"/>
    <s v="Aceites"/>
    <x v="2"/>
    <n v="0.1"/>
    <s v="Potencial"/>
    <n v="7500"/>
    <n v="5220"/>
    <n v="2280"/>
    <n v="0.30399999999999999"/>
    <s v="Alta"/>
    <s v="Mediana"/>
    <x v="1"/>
  </r>
  <r>
    <x v="9"/>
    <d v="2026-04-02T00:00:00"/>
    <s v="Comercial Azteca"/>
    <s v="P002"/>
    <x v="4"/>
    <n v="1100"/>
    <n v="7.1"/>
    <n v="4.8"/>
    <s v="Entregado"/>
    <x v="3"/>
    <s v="Cacao"/>
    <x v="1"/>
    <n v="0.08"/>
    <s v="Potencial"/>
    <n v="7810"/>
    <n v="5280"/>
    <n v="2530"/>
    <n v="0.323943661971831"/>
    <s v="Alta"/>
    <s v="Mediana"/>
    <x v="1"/>
  </r>
  <r>
    <x v="10"/>
    <d v="2026-04-10T00:00:00"/>
    <s v="Global Foods"/>
    <s v="P004"/>
    <x v="1"/>
    <n v="1300"/>
    <n v="8.1999999999999993"/>
    <n v="5.9"/>
    <s v="Entregado"/>
    <x v="2"/>
    <s v="Semillas"/>
    <x v="1"/>
    <n v="0.05"/>
    <s v="Estratégico"/>
    <n v="10659.999999999998"/>
    <n v="7670.0000000000009"/>
    <n v="2989.9999999999973"/>
    <n v="0.28048780487804859"/>
    <s v="Media"/>
    <s v="Grande"/>
    <x v="1"/>
  </r>
  <r>
    <x v="11"/>
    <d v="2026-04-18T00:00:00"/>
    <s v="Comercial Maya"/>
    <s v="P001"/>
    <x v="0"/>
    <n v="700"/>
    <n v="6.5"/>
    <n v="4.0999999999999996"/>
    <s v="Pendiente"/>
    <x v="1"/>
    <s v="Café"/>
    <x v="0"/>
    <n v="0.03"/>
    <s v="Estratégico"/>
    <n v="4550"/>
    <n v="2869.9999999999995"/>
    <n v="1680.0000000000005"/>
    <n v="0.36923076923076931"/>
    <s v="Alta"/>
    <s v="Pequeña"/>
    <x v="0"/>
  </r>
  <r>
    <x v="12"/>
    <d v="2026-04-27T00:00:00"/>
    <s v="Distribuidora Tica"/>
    <s v="P005"/>
    <x v="2"/>
    <n v="450"/>
    <n v="12.5"/>
    <n v="8.6999999999999993"/>
    <s v="Embarcado"/>
    <x v="4"/>
    <s v="Aceites"/>
    <x v="0"/>
    <n v="0.02"/>
    <s v="Estratégico"/>
    <n v="5625"/>
    <n v="3914.9999999999995"/>
    <n v="1710.0000000000005"/>
    <n v="0.3040000000000001"/>
    <s v="Alta"/>
    <s v="Mediana"/>
    <x v="0"/>
  </r>
  <r>
    <x v="13"/>
    <d v="2026-05-05T00:00:00"/>
    <s v="Iberia Foods"/>
    <s v="P003"/>
    <x v="3"/>
    <n v="1000"/>
    <n v="4.8"/>
    <n v="3.2"/>
    <s v="Entregado"/>
    <x v="0"/>
    <s v="Apícola"/>
    <x v="2"/>
    <n v="0.1"/>
    <s v="Potencial"/>
    <n v="4800"/>
    <n v="3200"/>
    <n v="1600"/>
    <n v="0.33333333333333331"/>
    <s v="Alta"/>
    <s v="Pequeña"/>
    <x v="1"/>
  </r>
  <r>
    <x v="14"/>
    <d v="2026-05-14T00:00:00"/>
    <s v="Comercial Azteca"/>
    <s v="P001"/>
    <x v="4"/>
    <n v="850"/>
    <n v="6.5"/>
    <n v="4.0999999999999996"/>
    <s v="Embarcado"/>
    <x v="1"/>
    <s v="Café"/>
    <x v="1"/>
    <n v="0.08"/>
    <s v="Potencial"/>
    <n v="5525"/>
    <n v="3484.9999999999995"/>
    <n v="2040.0000000000005"/>
    <n v="0.36923076923076931"/>
    <s v="Alta"/>
    <s v="Mediana"/>
    <x v="1"/>
  </r>
  <r>
    <x v="15"/>
    <d v="2026-05-22T00:00:00"/>
    <s v="Global Foods"/>
    <s v="P002"/>
    <x v="1"/>
    <n v="1250"/>
    <n v="7.1"/>
    <n v="4.8"/>
    <s v="Entregado"/>
    <x v="3"/>
    <s v="Cacao"/>
    <x v="1"/>
    <n v="0.05"/>
    <s v="Estratégico"/>
    <n v="8875"/>
    <n v="6000"/>
    <n v="2875"/>
    <n v="0.323943661971831"/>
    <s v="Alta"/>
    <s v="Mediana"/>
    <x v="0"/>
  </r>
  <r>
    <x v="16"/>
    <d v="2026-05-30T00:00:00"/>
    <s v="Comercial Maya"/>
    <s v="P005"/>
    <x v="0"/>
    <n v="550"/>
    <n v="12.5"/>
    <n v="8.6999999999999993"/>
    <s v="Embarcado"/>
    <x v="4"/>
    <s v="Aceites"/>
    <x v="0"/>
    <n v="0.03"/>
    <s v="Estratégico"/>
    <n v="6875"/>
    <n v="4785"/>
    <n v="2090"/>
    <n v="0.30399999999999999"/>
    <s v="Alta"/>
    <s v="Mediana"/>
    <x v="0"/>
  </r>
  <r>
    <x v="17"/>
    <d v="2026-06-07T00:00:00"/>
    <s v="Distribuidora Tica"/>
    <s v="P003"/>
    <x v="2"/>
    <n v="800"/>
    <n v="4.8"/>
    <n v="3.2"/>
    <s v="Entregado"/>
    <x v="0"/>
    <s v="Apícola"/>
    <x v="0"/>
    <n v="0.02"/>
    <s v="Estratégico"/>
    <n v="3840"/>
    <n v="2560"/>
    <n v="1280"/>
    <n v="0.33333333333333331"/>
    <s v="Alta"/>
    <s v="Pequeña"/>
    <x v="0"/>
  </r>
  <r>
    <x v="18"/>
    <d v="2026-06-16T00:00:00"/>
    <s v="Iberia Foods"/>
    <s v="P004"/>
    <x v="3"/>
    <n v="900"/>
    <n v="8.1999999999999993"/>
    <n v="5.9"/>
    <s v="Pendiente"/>
    <x v="2"/>
    <s v="Semillas"/>
    <x v="2"/>
    <n v="0.1"/>
    <s v="Potencial"/>
    <n v="7379.9999999999991"/>
    <n v="5310"/>
    <n v="2069.9999999999991"/>
    <n v="0.2804878048780487"/>
    <s v="Media"/>
    <s v="Mediana"/>
    <x v="2"/>
  </r>
  <r>
    <x v="19"/>
    <d v="2026-06-25T00:00:00"/>
    <s v="Comercial Azteca"/>
    <s v="P005"/>
    <x v="4"/>
    <n v="650"/>
    <n v="12.5"/>
    <n v="8.6999999999999993"/>
    <s v="Entregado"/>
    <x v="4"/>
    <s v="Aceites"/>
    <x v="1"/>
    <n v="0.08"/>
    <s v="Potencial"/>
    <n v="8125"/>
    <n v="5654.9999999999991"/>
    <n v="2470.0000000000009"/>
    <n v="0.3040000000000001"/>
    <s v="Alta"/>
    <s v="Mediana"/>
    <x v="1"/>
  </r>
  <r>
    <x v="20"/>
    <d v="2026-07-03T00:00:00"/>
    <s v="Global Foods"/>
    <s v="P001"/>
    <x v="1"/>
    <n v="1500"/>
    <n v="6.5"/>
    <n v="4.0999999999999996"/>
    <s v="Embarcado"/>
    <x v="1"/>
    <s v="Café"/>
    <x v="1"/>
    <n v="0.05"/>
    <s v="Estratégico"/>
    <n v="9750"/>
    <n v="6149.9999999999991"/>
    <n v="3600.0000000000009"/>
    <n v="0.36923076923076931"/>
    <s v="Alta"/>
    <s v="Mediana"/>
    <x v="0"/>
  </r>
  <r>
    <x v="21"/>
    <d v="2026-07-11T00:00:00"/>
    <s v="Comercial Maya"/>
    <s v="P002"/>
    <x v="0"/>
    <n v="1000"/>
    <n v="7.1"/>
    <n v="4.8"/>
    <s v="Entregado"/>
    <x v="3"/>
    <s v="Cacao"/>
    <x v="0"/>
    <n v="0.03"/>
    <s v="Estratégico"/>
    <n v="7100"/>
    <n v="4800"/>
    <n v="2300"/>
    <n v="0.323943661971831"/>
    <s v="Alta"/>
    <s v="Mediana"/>
    <x v="0"/>
  </r>
  <r>
    <x v="22"/>
    <d v="2026-07-19T00:00:00"/>
    <s v="Distribuidora Tica"/>
    <s v="P004"/>
    <x v="2"/>
    <n v="720"/>
    <n v="8.1999999999999993"/>
    <n v="5.9"/>
    <s v="Embarcado"/>
    <x v="2"/>
    <s v="Semillas"/>
    <x v="0"/>
    <n v="0.02"/>
    <s v="Estratégico"/>
    <n v="5903.9999999999991"/>
    <n v="4248"/>
    <n v="1655.9999999999991"/>
    <n v="0.2804878048780487"/>
    <s v="Media"/>
    <s v="Mediana"/>
    <x v="1"/>
  </r>
  <r>
    <x v="23"/>
    <d v="2026-07-28T00:00:00"/>
    <s v="Iberia Foods"/>
    <s v="P003"/>
    <x v="3"/>
    <n v="1150"/>
    <n v="4.8"/>
    <n v="3.2"/>
    <s v="Entregado"/>
    <x v="0"/>
    <s v="Apícola"/>
    <x v="2"/>
    <n v="0.1"/>
    <s v="Potencial"/>
    <n v="5520"/>
    <n v="3680"/>
    <n v="1840"/>
    <n v="0.33333333333333331"/>
    <s v="Alta"/>
    <s v="Mediana"/>
    <x v="1"/>
  </r>
  <r>
    <x v="24"/>
    <d v="2026-08-05T00:00:00"/>
    <s v="Comercial Azteca"/>
    <s v="P001"/>
    <x v="4"/>
    <n v="950"/>
    <n v="6.5"/>
    <n v="4.0999999999999996"/>
    <s v="Pendiente"/>
    <x v="1"/>
    <s v="Café"/>
    <x v="1"/>
    <n v="0.08"/>
    <s v="Potencial"/>
    <n v="6175"/>
    <n v="3894.9999999999995"/>
    <n v="2280.0000000000005"/>
    <n v="0.36923076923076931"/>
    <s v="Alta"/>
    <s v="Mediana"/>
    <x v="1"/>
  </r>
  <r>
    <x v="25"/>
    <d v="2026-08-13T00:00:00"/>
    <s v="Global Foods"/>
    <s v="P005"/>
    <x v="1"/>
    <n v="700"/>
    <n v="12.5"/>
    <n v="8.6999999999999993"/>
    <s v="Entregado"/>
    <x v="4"/>
    <s v="Aceites"/>
    <x v="1"/>
    <n v="0.05"/>
    <s v="Estratégico"/>
    <n v="8750"/>
    <n v="6089.9999999999991"/>
    <n v="2660.0000000000009"/>
    <n v="0.3040000000000001"/>
    <s v="Alta"/>
    <s v="Mediana"/>
    <x v="0"/>
  </r>
  <r>
    <x v="26"/>
    <d v="2026-08-21T00:00:00"/>
    <s v="Comercial Maya"/>
    <s v="P003"/>
    <x v="0"/>
    <n v="1050"/>
    <n v="4.8"/>
    <n v="3.2"/>
    <s v="Embarcado"/>
    <x v="0"/>
    <s v="Apícola"/>
    <x v="0"/>
    <n v="0.03"/>
    <s v="Estratégico"/>
    <n v="5040"/>
    <n v="3360"/>
    <n v="1680"/>
    <n v="0.33333333333333331"/>
    <s v="Alta"/>
    <s v="Mediana"/>
    <x v="0"/>
  </r>
  <r>
    <x v="27"/>
    <d v="2026-08-29T00:00:00"/>
    <s v="Distribuidora Tica"/>
    <s v="P002"/>
    <x v="2"/>
    <n v="850"/>
    <n v="7.1"/>
    <n v="4.8"/>
    <s v="Entregado"/>
    <x v="3"/>
    <s v="Cacao"/>
    <x v="0"/>
    <n v="0.02"/>
    <s v="Estratégico"/>
    <n v="6035"/>
    <n v="4080"/>
    <n v="1955"/>
    <n v="0.323943661971831"/>
    <s v="Alta"/>
    <s v="Mediana"/>
    <x v="0"/>
  </r>
  <r>
    <x v="28"/>
    <d v="2026-09-04T00:00:00"/>
    <s v="Iberia Foods"/>
    <s v="P001"/>
    <x v="3"/>
    <n v="1200"/>
    <n v="6.5"/>
    <n v="4.0999999999999996"/>
    <s v="Embarcado"/>
    <x v="1"/>
    <s v="Café"/>
    <x v="2"/>
    <n v="0.1"/>
    <s v="Potencial"/>
    <n v="7800"/>
    <n v="4920"/>
    <n v="2880"/>
    <n v="0.36923076923076925"/>
    <s v="Alta"/>
    <s v="Mediana"/>
    <x v="1"/>
  </r>
  <r>
    <x v="29"/>
    <d v="2026-09-12T00:00:00"/>
    <s v="Comercial Azteca"/>
    <s v="P004"/>
    <x v="4"/>
    <n v="600"/>
    <n v="8.1999999999999993"/>
    <n v="5.9"/>
    <s v="Entregado"/>
    <x v="2"/>
    <s v="Semillas"/>
    <x v="1"/>
    <n v="0.08"/>
    <s v="Potencial"/>
    <n v="4920"/>
    <n v="3540"/>
    <n v="1380"/>
    <n v="0.28048780487804881"/>
    <s v="Media"/>
    <s v="Pequeña"/>
    <x v="2"/>
  </r>
  <r>
    <x v="30"/>
    <d v="2026-09-20T00:00:00"/>
    <s v="Global Foods"/>
    <s v="P003"/>
    <x v="1"/>
    <n v="1350"/>
    <n v="4.8"/>
    <n v="3.2"/>
    <s v="Entregado"/>
    <x v="0"/>
    <s v="Apícola"/>
    <x v="1"/>
    <n v="0.05"/>
    <s v="Estratégico"/>
    <n v="6480"/>
    <n v="4320"/>
    <n v="2160"/>
    <n v="0.33333333333333331"/>
    <s v="Alta"/>
    <s v="Mediana"/>
    <x v="0"/>
  </r>
  <r>
    <x v="31"/>
    <d v="2026-09-28T00:00:00"/>
    <s v="Comercial Maya"/>
    <s v="P005"/>
    <x v="0"/>
    <n v="500"/>
    <n v="12.5"/>
    <n v="8.6999999999999993"/>
    <s v="Pendiente"/>
    <x v="4"/>
    <s v="Aceites"/>
    <x v="0"/>
    <n v="0.03"/>
    <s v="Estratégico"/>
    <n v="6250"/>
    <n v="4350"/>
    <n v="1900"/>
    <n v="0.30399999999999999"/>
    <s v="Alta"/>
    <s v="Mediana"/>
    <x v="0"/>
  </r>
  <r>
    <x v="32"/>
    <d v="2026-10-06T00:00:00"/>
    <s v="Distribuidora Tica"/>
    <s v="P001"/>
    <x v="2"/>
    <n v="950"/>
    <n v="6.5"/>
    <n v="4.0999999999999996"/>
    <s v="Embarcado"/>
    <x v="1"/>
    <s v="Café"/>
    <x v="0"/>
    <n v="0.02"/>
    <s v="Estratégico"/>
    <n v="6175"/>
    <n v="3894.9999999999995"/>
    <n v="2280.0000000000005"/>
    <n v="0.36923076923076931"/>
    <s v="Alta"/>
    <s v="Mediana"/>
    <x v="0"/>
  </r>
  <r>
    <x v="33"/>
    <d v="2026-10-14T00:00:00"/>
    <s v="Iberia Foods"/>
    <s v="P002"/>
    <x v="3"/>
    <n v="1050"/>
    <n v="7.1"/>
    <n v="4.8"/>
    <s v="Entregado"/>
    <x v="3"/>
    <s v="Cacao"/>
    <x v="2"/>
    <n v="0.1"/>
    <s v="Potencial"/>
    <n v="7455"/>
    <n v="5040"/>
    <n v="2415"/>
    <n v="0.323943661971831"/>
    <s v="Alta"/>
    <s v="Mediana"/>
    <x v="1"/>
  </r>
  <r>
    <x v="34"/>
    <d v="2026-10-22T00:00:00"/>
    <s v="Comercial Azteca"/>
    <s v="P003"/>
    <x v="4"/>
    <n v="750"/>
    <n v="4.8"/>
    <n v="3.2"/>
    <s v="Embarcado"/>
    <x v="0"/>
    <s v="Apícola"/>
    <x v="1"/>
    <n v="0.08"/>
    <s v="Potencial"/>
    <n v="3600"/>
    <n v="2400"/>
    <n v="1200"/>
    <n v="0.33333333333333331"/>
    <s v="Alta"/>
    <s v="Pequeña"/>
    <x v="1"/>
  </r>
  <r>
    <x v="35"/>
    <d v="2026-10-30T00:00:00"/>
    <s v="Global Foods"/>
    <s v="P004"/>
    <x v="1"/>
    <n v="900"/>
    <n v="8.1999999999999993"/>
    <n v="5.9"/>
    <s v="Entregado"/>
    <x v="2"/>
    <s v="Semillas"/>
    <x v="1"/>
    <n v="0.05"/>
    <s v="Estratégico"/>
    <n v="7379.9999999999991"/>
    <n v="5310"/>
    <n v="2069.9999999999991"/>
    <n v="0.2804878048780487"/>
    <s v="Media"/>
    <s v="Mediana"/>
    <x v="1"/>
  </r>
  <r>
    <x v="36"/>
    <d v="2026-11-07T00:00:00"/>
    <s v="Comercial Maya"/>
    <s v="P001"/>
    <x v="0"/>
    <n v="1150"/>
    <n v="6.5"/>
    <n v="4.0999999999999996"/>
    <s v="Entregado"/>
    <x v="1"/>
    <s v="Café"/>
    <x v="0"/>
    <n v="0.03"/>
    <s v="Estratégico"/>
    <n v="7475"/>
    <n v="4715"/>
    <n v="2760"/>
    <n v="0.36923076923076925"/>
    <s v="Alta"/>
    <s v="Mediana"/>
    <x v="0"/>
  </r>
  <r>
    <x v="37"/>
    <d v="2026-11-15T00:00:00"/>
    <s v="Distribuidora Tica"/>
    <s v="P005"/>
    <x v="2"/>
    <n v="580"/>
    <n v="12.5"/>
    <n v="8.6999999999999993"/>
    <s v="Embarcado"/>
    <x v="4"/>
    <s v="Aceites"/>
    <x v="0"/>
    <n v="0.02"/>
    <s v="Estratégico"/>
    <n v="7250"/>
    <n v="5046"/>
    <n v="2204"/>
    <n v="0.30399999999999999"/>
    <s v="Alta"/>
    <s v="Mediana"/>
    <x v="0"/>
  </r>
  <r>
    <x v="38"/>
    <d v="2026-11-23T00:00:00"/>
    <s v="Iberia Foods"/>
    <s v="P003"/>
    <x v="3"/>
    <n v="1300"/>
    <n v="4.8"/>
    <n v="3.2"/>
    <s v="Pendiente"/>
    <x v="0"/>
    <s v="Apícola"/>
    <x v="2"/>
    <n v="0.1"/>
    <s v="Potencial"/>
    <n v="6240"/>
    <n v="4160"/>
    <n v="2080"/>
    <n v="0.33333333333333331"/>
    <s v="Alta"/>
    <s v="Mediana"/>
    <x v="1"/>
  </r>
  <r>
    <x v="39"/>
    <d v="2026-12-01T00:00:00"/>
    <s v="Comercial Azteca"/>
    <s v="P002"/>
    <x v="4"/>
    <n v="900"/>
    <n v="7.1"/>
    <n v="4.8"/>
    <s v="Entregado"/>
    <x v="3"/>
    <s v="Cacao"/>
    <x v="1"/>
    <n v="0.08"/>
    <s v="Potencial"/>
    <n v="6390"/>
    <n v="4320"/>
    <n v="2070"/>
    <n v="0.323943661971831"/>
    <s v="Alta"/>
    <s v="Mediana"/>
    <x v="1"/>
  </r>
  <r>
    <x v="40"/>
    <d v="2026-12-08T00:00:00"/>
    <s v="Global Foods"/>
    <s v="P001"/>
    <x v="1"/>
    <n v="1400"/>
    <n v="6.5"/>
    <n v="4.0999999999999996"/>
    <s v="Embarcado"/>
    <x v="1"/>
    <s v="Café"/>
    <x v="1"/>
    <n v="0.05"/>
    <s v="Estratégico"/>
    <n v="9100"/>
    <n v="5739.9999999999991"/>
    <n v="3360.0000000000009"/>
    <n v="0.36923076923076931"/>
    <s v="Alta"/>
    <s v="Mediana"/>
    <x v="0"/>
  </r>
  <r>
    <x v="41"/>
    <d v="2026-12-15T00:00:00"/>
    <s v="Comercial Maya"/>
    <s v="P004"/>
    <x v="0"/>
    <n v="800"/>
    <n v="8.1999999999999993"/>
    <n v="5.9"/>
    <s v="Entregado"/>
    <x v="2"/>
    <s v="Semillas"/>
    <x v="0"/>
    <n v="0.03"/>
    <s v="Estratégico"/>
    <n v="6559.9999999999991"/>
    <n v="4720"/>
    <n v="1839.9999999999991"/>
    <n v="0.2804878048780487"/>
    <s v="Media"/>
    <s v="Mediana"/>
    <x v="1"/>
  </r>
  <r>
    <x v="42"/>
    <d v="2026-12-22T00:00:00"/>
    <s v="Distribuidora Tica"/>
    <s v="P003"/>
    <x v="2"/>
    <n v="1000"/>
    <n v="4.8"/>
    <n v="3.2"/>
    <s v="Entregado"/>
    <x v="0"/>
    <s v="Apícola"/>
    <x v="0"/>
    <n v="0.02"/>
    <s v="Estratégico"/>
    <n v="4800"/>
    <n v="3200"/>
    <n v="1600"/>
    <n v="0.33333333333333331"/>
    <s v="Alta"/>
    <s v="Pequeña"/>
    <x v="0"/>
  </r>
  <r>
    <x v="43"/>
    <d v="2026-12-28T00:00:00"/>
    <s v="Iberia Foods"/>
    <s v="P005"/>
    <x v="3"/>
    <n v="650"/>
    <n v="12.5"/>
    <n v="8.6999999999999993"/>
    <s v="Embarcado"/>
    <x v="4"/>
    <s v="Aceites"/>
    <x v="2"/>
    <n v="0.1"/>
    <s v="Potencial"/>
    <n v="8125"/>
    <n v="5654.9999999999991"/>
    <n v="2470.0000000000009"/>
    <n v="0.3040000000000001"/>
    <s v="Alta"/>
    <s v="Mediana"/>
    <x v="1"/>
  </r>
  <r>
    <x v="44"/>
    <d v="2026-01-04T00:00:00"/>
    <s v="Comercial Azteca"/>
    <s v="P001"/>
    <x v="4"/>
    <n v="780"/>
    <n v="6.5"/>
    <n v="4.0999999999999996"/>
    <s v="Entregado"/>
    <x v="1"/>
    <s v="Café"/>
    <x v="1"/>
    <n v="0.08"/>
    <s v="Potencial"/>
    <n v="5070"/>
    <n v="3197.9999999999995"/>
    <n v="1872.0000000000005"/>
    <n v="0.36923076923076931"/>
    <s v="Alta"/>
    <s v="Mediana"/>
    <x v="1"/>
  </r>
  <r>
    <x v="45"/>
    <d v="2026-01-11T00:00:00"/>
    <s v="Global Foods"/>
    <s v="P002"/>
    <x v="1"/>
    <n v="1180"/>
    <n v="7.1"/>
    <n v="4.8"/>
    <s v="Pendiente"/>
    <x v="3"/>
    <s v="Cacao"/>
    <x v="1"/>
    <n v="0.05"/>
    <s v="Estratégico"/>
    <n v="8378"/>
    <n v="5664"/>
    <n v="2714"/>
    <n v="0.323943661971831"/>
    <s v="Alta"/>
    <s v="Mediana"/>
    <x v="0"/>
  </r>
  <r>
    <x v="46"/>
    <d v="2026-01-18T00:00:00"/>
    <s v="Comercial Maya"/>
    <s v="P003"/>
    <x v="0"/>
    <n v="920"/>
    <n v="4.8"/>
    <n v="3.2"/>
    <s v="Embarcado"/>
    <x v="0"/>
    <s v="Apícola"/>
    <x v="0"/>
    <n v="0.03"/>
    <s v="Estratégico"/>
    <n v="4416"/>
    <n v="2944"/>
    <n v="1472"/>
    <n v="0.33333333333333331"/>
    <s v="Alta"/>
    <s v="Pequeña"/>
    <x v="0"/>
  </r>
  <r>
    <x v="47"/>
    <d v="2026-01-26T00:00:00"/>
    <s v="Distribuidora Tica"/>
    <s v="P004"/>
    <x v="2"/>
    <n v="680"/>
    <n v="8.1999999999999993"/>
    <n v="5.9"/>
    <s v="Entregado"/>
    <x v="2"/>
    <s v="Semillas"/>
    <x v="0"/>
    <n v="0.02"/>
    <s v="Estratégico"/>
    <n v="5575.9999999999991"/>
    <n v="4012.0000000000005"/>
    <n v="1563.9999999999986"/>
    <n v="0.28048780487804859"/>
    <s v="Media"/>
    <s v="Mediana"/>
    <x v="1"/>
  </r>
  <r>
    <x v="48"/>
    <d v="2026-02-04T00:00:00"/>
    <s v="Iberia Foods"/>
    <s v="P001"/>
    <x v="3"/>
    <n v="1080"/>
    <n v="6.5"/>
    <n v="4.0999999999999996"/>
    <s v="Embarcado"/>
    <x v="1"/>
    <s v="Café"/>
    <x v="2"/>
    <n v="0.1"/>
    <s v="Potencial"/>
    <n v="7020"/>
    <n v="4428"/>
    <n v="2592"/>
    <n v="0.36923076923076925"/>
    <s v="Alta"/>
    <s v="Mediana"/>
    <x v="1"/>
  </r>
  <r>
    <x v="49"/>
    <d v="2026-02-12T00:00:00"/>
    <s v="Comercial Azteca"/>
    <s v="P005"/>
    <x v="4"/>
    <n v="520"/>
    <n v="12.5"/>
    <n v="8.6999999999999993"/>
    <s v="Entregado"/>
    <x v="4"/>
    <s v="Aceites"/>
    <x v="1"/>
    <n v="0.08"/>
    <s v="Potencial"/>
    <n v="6500"/>
    <n v="4524"/>
    <n v="1976"/>
    <n v="0.30399999999999999"/>
    <s v="Alta"/>
    <s v="Mediana"/>
    <x v="1"/>
  </r>
  <r>
    <x v="50"/>
    <d v="2026-02-21T00:00:00"/>
    <s v="Global Foods"/>
    <s v="P003"/>
    <x v="1"/>
    <n v="1450"/>
    <n v="4.8"/>
    <n v="3.2"/>
    <s v="Entregado"/>
    <x v="0"/>
    <s v="Apícola"/>
    <x v="1"/>
    <n v="0.05"/>
    <s v="Estratégico"/>
    <n v="6960"/>
    <n v="4640"/>
    <n v="2320"/>
    <n v="0.33333333333333331"/>
    <s v="Alta"/>
    <s v="Mediana"/>
    <x v="0"/>
  </r>
  <r>
    <x v="51"/>
    <d v="2026-03-01T00:00:00"/>
    <s v="Comercial Maya"/>
    <s v="P002"/>
    <x v="0"/>
    <n v="880"/>
    <n v="7.1"/>
    <n v="4.8"/>
    <s v="Pendiente"/>
    <x v="3"/>
    <s v="Cacao"/>
    <x v="0"/>
    <n v="0.03"/>
    <s v="Estratégico"/>
    <n v="6248"/>
    <n v="4224"/>
    <n v="2024"/>
    <n v="0.323943661971831"/>
    <s v="Alta"/>
    <s v="Mediana"/>
    <x v="0"/>
  </r>
  <r>
    <x v="52"/>
    <d v="2026-03-10T00:00:00"/>
    <s v="Distribuidora Tica"/>
    <s v="P001"/>
    <x v="2"/>
    <n v="970"/>
    <n v="6.5"/>
    <n v="4.0999999999999996"/>
    <s v="Embarcado"/>
    <x v="1"/>
    <s v="Café"/>
    <x v="0"/>
    <n v="0.02"/>
    <s v="Estratégico"/>
    <n v="6305"/>
    <n v="3976.9999999999995"/>
    <n v="2328.0000000000005"/>
    <n v="0.36923076923076931"/>
    <s v="Alta"/>
    <s v="Mediana"/>
    <x v="0"/>
  </r>
  <r>
    <x v="53"/>
    <d v="2026-03-19T00:00:00"/>
    <s v="Iberia Foods"/>
    <s v="P004"/>
    <x v="3"/>
    <n v="760"/>
    <n v="8.1999999999999993"/>
    <n v="5.9"/>
    <s v="Entregado"/>
    <x v="2"/>
    <s v="Semillas"/>
    <x v="2"/>
    <n v="0.1"/>
    <s v="Potencial"/>
    <n v="6231.9999999999991"/>
    <n v="4484"/>
    <n v="1747.9999999999991"/>
    <n v="0.2804878048780487"/>
    <s v="Media"/>
    <s v="Mediana"/>
    <x v="2"/>
  </r>
  <r>
    <x v="54"/>
    <d v="2026-03-28T00:00:00"/>
    <s v="Comercial Azteca"/>
    <s v="P003"/>
    <x v="4"/>
    <n v="620"/>
    <n v="4.8"/>
    <n v="3.2"/>
    <s v="Embarcado"/>
    <x v="0"/>
    <s v="Apícola"/>
    <x v="1"/>
    <n v="0.08"/>
    <s v="Potencial"/>
    <n v="2976"/>
    <n v="1984"/>
    <n v="992"/>
    <n v="0.33333333333333331"/>
    <s v="Alta"/>
    <s v="Pequeña"/>
    <x v="1"/>
  </r>
  <r>
    <x v="55"/>
    <d v="2026-04-06T00:00:00"/>
    <s v="Global Foods"/>
    <s v="P005"/>
    <x v="1"/>
    <n v="820"/>
    <n v="12.5"/>
    <n v="8.6999999999999993"/>
    <s v="Entregado"/>
    <x v="4"/>
    <s v="Aceites"/>
    <x v="1"/>
    <n v="0.05"/>
    <s v="Estratégico"/>
    <n v="10250"/>
    <n v="7133.9999999999991"/>
    <n v="3116.0000000000009"/>
    <n v="0.3040000000000001"/>
    <s v="Alta"/>
    <s v="Grande"/>
    <x v="0"/>
  </r>
  <r>
    <x v="56"/>
    <d v="2026-04-15T00:00:00"/>
    <s v="Comercial Maya"/>
    <s v="P001"/>
    <x v="0"/>
    <n v="1250"/>
    <n v="6.5"/>
    <n v="4.0999999999999996"/>
    <s v="Entregado"/>
    <x v="1"/>
    <s v="Café"/>
    <x v="0"/>
    <n v="0.03"/>
    <s v="Estratégico"/>
    <n v="8125"/>
    <n v="5125"/>
    <n v="3000"/>
    <n v="0.36923076923076925"/>
    <s v="Alta"/>
    <s v="Mediana"/>
    <x v="0"/>
  </r>
  <r>
    <x v="57"/>
    <d v="2026-04-24T00:00:00"/>
    <s v="Distribuidora Tica"/>
    <s v="P002"/>
    <x v="2"/>
    <n v="790"/>
    <n v="7.1"/>
    <n v="4.8"/>
    <s v="Embarcado"/>
    <x v="3"/>
    <s v="Cacao"/>
    <x v="0"/>
    <n v="0.02"/>
    <s v="Estratégico"/>
    <n v="5609"/>
    <n v="3792"/>
    <n v="1817"/>
    <n v="0.323943661971831"/>
    <s v="Alta"/>
    <s v="Mediana"/>
    <x v="0"/>
  </r>
  <r>
    <x v="58"/>
    <d v="2026-05-03T00:00:00"/>
    <s v="Iberia Foods"/>
    <s v="P003"/>
    <x v="3"/>
    <n v="980"/>
    <n v="4.8"/>
    <n v="3.2"/>
    <s v="Pendiente"/>
    <x v="0"/>
    <s v="Apícola"/>
    <x v="2"/>
    <n v="0.1"/>
    <s v="Potencial"/>
    <n v="4704"/>
    <n v="3136"/>
    <n v="1568"/>
    <n v="0.33333333333333331"/>
    <s v="Alta"/>
    <s v="Pequeña"/>
    <x v="1"/>
  </r>
  <r>
    <x v="59"/>
    <d v="2026-05-12T00:00:00"/>
    <s v="Comercial Azteca"/>
    <s v="P004"/>
    <x v="4"/>
    <n v="730"/>
    <n v="8.1999999999999993"/>
    <n v="5.9"/>
    <s v="Entregado"/>
    <x v="2"/>
    <s v="Semillas"/>
    <x v="1"/>
    <n v="0.08"/>
    <s v="Potencial"/>
    <n v="5985.9999999999991"/>
    <n v="4307"/>
    <n v="1678.9999999999991"/>
    <n v="0.2804878048780487"/>
    <s v="Media"/>
    <s v="Mediana"/>
    <x v="2"/>
  </r>
  <r>
    <x v="60"/>
    <d v="2026-05-21T00:00:00"/>
    <s v="Global Foods"/>
    <s v="P001"/>
    <x v="1"/>
    <n v="1320"/>
    <n v="6.5"/>
    <n v="4.0999999999999996"/>
    <s v="Embarcado"/>
    <x v="1"/>
    <s v="Café"/>
    <x v="1"/>
    <n v="0.05"/>
    <s v="Estratégico"/>
    <n v="8580"/>
    <n v="5411.9999999999991"/>
    <n v="3168.0000000000009"/>
    <n v="0.36923076923076936"/>
    <s v="Alta"/>
    <s v="Mediana"/>
    <x v="0"/>
  </r>
  <r>
    <x v="61"/>
    <d v="2026-05-30T00:00:00"/>
    <s v="Comercial Maya"/>
    <s v="P005"/>
    <x v="0"/>
    <n v="470"/>
    <n v="12.5"/>
    <n v="8.6999999999999993"/>
    <s v="Entregado"/>
    <x v="4"/>
    <s v="Aceites"/>
    <x v="0"/>
    <n v="0.03"/>
    <s v="Estratégico"/>
    <n v="5875"/>
    <n v="4088.9999999999995"/>
    <n v="1786.0000000000005"/>
    <n v="0.3040000000000001"/>
    <s v="Alta"/>
    <s v="Mediana"/>
    <x v="0"/>
  </r>
  <r>
    <x v="62"/>
    <d v="2026-06-08T00:00:00"/>
    <s v="Distribuidora Tica"/>
    <s v="P003"/>
    <x v="2"/>
    <n v="860"/>
    <n v="4.8"/>
    <n v="3.2"/>
    <s v="Entregado"/>
    <x v="0"/>
    <s v="Apícola"/>
    <x v="0"/>
    <n v="0.02"/>
    <s v="Estratégico"/>
    <n v="4128"/>
    <n v="2752"/>
    <n v="1376"/>
    <n v="0.33333333333333331"/>
    <s v="Alta"/>
    <s v="Pequeña"/>
    <x v="0"/>
  </r>
  <r>
    <x v="63"/>
    <d v="2026-06-17T00:00:00"/>
    <s v="Iberia Foods"/>
    <s v="P002"/>
    <x v="3"/>
    <n v="1040"/>
    <n v="7.1"/>
    <n v="4.8"/>
    <s v="Embarcado"/>
    <x v="3"/>
    <s v="Cacao"/>
    <x v="2"/>
    <n v="0.1"/>
    <s v="Potencial"/>
    <n v="7384"/>
    <n v="4992"/>
    <n v="2392"/>
    <n v="0.323943661971831"/>
    <s v="Alta"/>
    <s v="Mediana"/>
    <x v="1"/>
  </r>
  <r>
    <x v="64"/>
    <d v="2026-06-26T00:00:00"/>
    <s v="Comercial Azteca"/>
    <s v="P001"/>
    <x v="4"/>
    <n v="890"/>
    <n v="6.5"/>
    <n v="4.0999999999999996"/>
    <s v="Pendiente"/>
    <x v="1"/>
    <s v="Café"/>
    <x v="1"/>
    <n v="0.08"/>
    <s v="Potencial"/>
    <n v="5785"/>
    <n v="3648.9999999999995"/>
    <n v="2136.0000000000005"/>
    <n v="0.36923076923076931"/>
    <s v="Alta"/>
    <s v="Mediana"/>
    <x v="1"/>
  </r>
  <r>
    <x v="65"/>
    <d v="2026-07-05T00:00:00"/>
    <s v="Global Foods"/>
    <s v="P004"/>
    <x v="1"/>
    <n v="1170"/>
    <n v="8.1999999999999993"/>
    <n v="5.9"/>
    <s v="Entregado"/>
    <x v="2"/>
    <s v="Semillas"/>
    <x v="1"/>
    <n v="0.05"/>
    <s v="Estratégico"/>
    <n v="9594"/>
    <n v="6903"/>
    <n v="2691"/>
    <n v="0.28048780487804881"/>
    <s v="Media"/>
    <s v="Mediana"/>
    <x v="1"/>
  </r>
  <r>
    <x v="66"/>
    <d v="2026-07-14T00:00:00"/>
    <s v="Comercial Maya"/>
    <s v="P003"/>
    <x v="0"/>
    <n v="760"/>
    <n v="4.8"/>
    <n v="3.2"/>
    <s v="Embarcado"/>
    <x v="0"/>
    <s v="Apícola"/>
    <x v="0"/>
    <n v="0.03"/>
    <s v="Estratégico"/>
    <n v="3648"/>
    <n v="2432"/>
    <n v="1216"/>
    <n v="0.33333333333333331"/>
    <s v="Alta"/>
    <s v="Pequeña"/>
    <x v="0"/>
  </r>
  <r>
    <x v="67"/>
    <d v="2026-07-23T00:00:00"/>
    <s v="Distribuidora Tica"/>
    <s v="P005"/>
    <x v="2"/>
    <n v="540"/>
    <n v="12.5"/>
    <n v="8.6999999999999993"/>
    <s v="Entregado"/>
    <x v="4"/>
    <s v="Aceites"/>
    <x v="0"/>
    <n v="0.02"/>
    <s v="Estratégico"/>
    <n v="6750"/>
    <n v="4698"/>
    <n v="2052"/>
    <n v="0.30399999999999999"/>
    <s v="Alta"/>
    <s v="Mediana"/>
    <x v="0"/>
  </r>
  <r>
    <x v="68"/>
    <d v="2026-08-01T00:00:00"/>
    <s v="Iberia Foods"/>
    <s v="P001"/>
    <x v="3"/>
    <n v="1280"/>
    <n v="6.5"/>
    <n v="4.0999999999999996"/>
    <s v="Embarcado"/>
    <x v="1"/>
    <s v="Café"/>
    <x v="2"/>
    <n v="0.1"/>
    <s v="Potencial"/>
    <n v="8320"/>
    <n v="5248"/>
    <n v="3072"/>
    <n v="0.36923076923076925"/>
    <s v="Alta"/>
    <s v="Mediana"/>
    <x v="1"/>
  </r>
  <r>
    <x v="69"/>
    <d v="2026-08-10T00:00:00"/>
    <s v="Comercial Azteca"/>
    <s v="P002"/>
    <x v="4"/>
    <n v="930"/>
    <n v="7.1"/>
    <n v="4.8"/>
    <s v="Entregado"/>
    <x v="3"/>
    <s v="Cacao"/>
    <x v="1"/>
    <n v="0.08"/>
    <s v="Potencial"/>
    <n v="6603"/>
    <n v="4464"/>
    <n v="2139"/>
    <n v="0.323943661971831"/>
    <s v="Alta"/>
    <s v="Mediana"/>
    <x v="1"/>
  </r>
  <r>
    <x v="70"/>
    <d v="2026-08-19T00:00:00"/>
    <s v="Global Foods"/>
    <s v="P003"/>
    <x v="1"/>
    <n v="1550"/>
    <n v="4.8"/>
    <n v="3.2"/>
    <s v="Entregado"/>
    <x v="0"/>
    <s v="Apícola"/>
    <x v="1"/>
    <n v="0.05"/>
    <s v="Estratégico"/>
    <n v="7440"/>
    <n v="4960"/>
    <n v="2480"/>
    <n v="0.33333333333333331"/>
    <s v="Alta"/>
    <s v="Mediana"/>
    <x v="0"/>
  </r>
  <r>
    <x v="71"/>
    <d v="2026-08-28T00:00:00"/>
    <s v="Comercial Maya"/>
    <s v="P004"/>
    <x v="0"/>
    <n v="690"/>
    <n v="8.1999999999999993"/>
    <n v="5.9"/>
    <s v="Pendiente"/>
    <x v="2"/>
    <s v="Semillas"/>
    <x v="0"/>
    <n v="0.03"/>
    <s v="Estratégico"/>
    <n v="5657.9999999999991"/>
    <n v="4071.0000000000005"/>
    <n v="1586.9999999999986"/>
    <n v="0.28048780487804859"/>
    <s v="Media"/>
    <s v="Mediana"/>
    <x v="1"/>
  </r>
  <r>
    <x v="72"/>
    <d v="2026-09-06T00:00:00"/>
    <s v="Distribuidora Tica"/>
    <s v="P001"/>
    <x v="2"/>
    <n v="1020"/>
    <n v="6.5"/>
    <n v="4.0999999999999996"/>
    <s v="Embarcado"/>
    <x v="1"/>
    <s v="Café"/>
    <x v="0"/>
    <n v="0.02"/>
    <s v="Estratégico"/>
    <n v="6630"/>
    <n v="4182"/>
    <n v="2448"/>
    <n v="0.36923076923076925"/>
    <s v="Alta"/>
    <s v="Mediana"/>
    <x v="0"/>
  </r>
  <r>
    <x v="73"/>
    <d v="2026-09-15T00:00:00"/>
    <s v="Iberia Foods"/>
    <s v="P005"/>
    <x v="3"/>
    <n v="610"/>
    <n v="12.5"/>
    <n v="8.6999999999999993"/>
    <s v="Entregado"/>
    <x v="4"/>
    <s v="Aceites"/>
    <x v="2"/>
    <n v="0.1"/>
    <s v="Potencial"/>
    <n v="7625"/>
    <n v="5307"/>
    <n v="2318"/>
    <n v="0.30399999999999999"/>
    <s v="Alta"/>
    <s v="Mediana"/>
    <x v="1"/>
  </r>
  <r>
    <x v="74"/>
    <d v="2026-09-24T00:00:00"/>
    <s v="Comercial Azteca"/>
    <s v="P003"/>
    <x v="4"/>
    <n v="840"/>
    <n v="4.8"/>
    <n v="3.2"/>
    <s v="Embarcado"/>
    <x v="0"/>
    <s v="Apícola"/>
    <x v="1"/>
    <n v="0.08"/>
    <s v="Potencial"/>
    <n v="4032"/>
    <n v="2688"/>
    <n v="1344"/>
    <n v="0.33333333333333331"/>
    <s v="Alta"/>
    <s v="Pequeña"/>
    <x v="1"/>
  </r>
  <r>
    <x v="75"/>
    <d v="2026-10-03T00:00:00"/>
    <s v="Global Foods"/>
    <s v="P002"/>
    <x v="1"/>
    <n v="1210"/>
    <n v="7.1"/>
    <n v="4.8"/>
    <s v="Entregado"/>
    <x v="3"/>
    <s v="Cacao"/>
    <x v="1"/>
    <n v="0.05"/>
    <s v="Estratégico"/>
    <n v="8591"/>
    <n v="5808"/>
    <n v="2783"/>
    <n v="0.323943661971831"/>
    <s v="Alta"/>
    <s v="Mediana"/>
    <x v="0"/>
  </r>
  <r>
    <x v="76"/>
    <d v="2026-10-12T00:00:00"/>
    <s v="Comercial Maya"/>
    <s v="P001"/>
    <x v="0"/>
    <n v="1080"/>
    <n v="6.5"/>
    <n v="4.0999999999999996"/>
    <s v="Entregado"/>
    <x v="1"/>
    <s v="Café"/>
    <x v="0"/>
    <n v="0.03"/>
    <s v="Estratégico"/>
    <n v="7020"/>
    <n v="4428"/>
    <n v="2592"/>
    <n v="0.36923076923076925"/>
    <s v="Alta"/>
    <s v="Mediana"/>
    <x v="0"/>
  </r>
  <r>
    <x v="77"/>
    <d v="2026-10-21T00:00:00"/>
    <s v="Distribuidora Tica"/>
    <s v="P004"/>
    <x v="2"/>
    <n v="720"/>
    <n v="8.1999999999999993"/>
    <n v="5.9"/>
    <s v="Embarcado"/>
    <x v="2"/>
    <s v="Semillas"/>
    <x v="0"/>
    <n v="0.02"/>
    <s v="Estratégico"/>
    <n v="5903.9999999999991"/>
    <n v="4248"/>
    <n v="1655.9999999999991"/>
    <n v="0.2804878048780487"/>
    <s v="Media"/>
    <s v="Mediana"/>
    <x v="1"/>
  </r>
  <r>
    <x v="78"/>
    <d v="2026-10-30T00:00:00"/>
    <s v="Iberia Foods"/>
    <s v="P003"/>
    <x v="3"/>
    <n v="1160"/>
    <n v="4.8"/>
    <n v="3.2"/>
    <s v="Pendiente"/>
    <x v="0"/>
    <s v="Apícola"/>
    <x v="2"/>
    <n v="0.1"/>
    <s v="Potencial"/>
    <n v="5568"/>
    <n v="3712"/>
    <n v="1856"/>
    <n v="0.33333333333333331"/>
    <s v="Alta"/>
    <s v="Mediana"/>
    <x v="1"/>
  </r>
  <r>
    <x v="79"/>
    <d v="2026-11-08T00:00:00"/>
    <s v="Comercial Azteca"/>
    <s v="P005"/>
    <x v="4"/>
    <n v="560"/>
    <n v="12.5"/>
    <n v="8.6999999999999993"/>
    <s v="Entregado"/>
    <x v="4"/>
    <s v="Aceites"/>
    <x v="1"/>
    <n v="0.08"/>
    <s v="Potencial"/>
    <n v="7000"/>
    <n v="4872"/>
    <n v="2128"/>
    <n v="0.30399999999999999"/>
    <s v="Alta"/>
    <s v="Mediana"/>
    <x v="1"/>
  </r>
  <r>
    <x v="80"/>
    <d v="2026-11-17T00:00:00"/>
    <s v="Global Foods"/>
    <s v="P001"/>
    <x v="1"/>
    <n v="1380"/>
    <n v="6.5"/>
    <n v="4.0999999999999996"/>
    <s v="Embarcado"/>
    <x v="1"/>
    <s v="Café"/>
    <x v="1"/>
    <n v="0.05"/>
    <s v="Estratégico"/>
    <n v="8970"/>
    <n v="5657.9999999999991"/>
    <n v="3312.0000000000009"/>
    <n v="0.36923076923076931"/>
    <s v="Alta"/>
    <s v="Mediana"/>
    <x v="0"/>
  </r>
  <r>
    <x v="81"/>
    <d v="2026-11-26T00:00:00"/>
    <s v="Comercial Maya"/>
    <s v="P002"/>
    <x v="0"/>
    <n v="940"/>
    <n v="7.1"/>
    <n v="4.8"/>
    <s v="Entregado"/>
    <x v="3"/>
    <s v="Cacao"/>
    <x v="0"/>
    <n v="0.03"/>
    <s v="Estratégico"/>
    <n v="6674"/>
    <n v="4512"/>
    <n v="2162"/>
    <n v="0.323943661971831"/>
    <s v="Alta"/>
    <s v="Mediana"/>
    <x v="0"/>
  </r>
  <r>
    <x v="82"/>
    <d v="2026-12-05T00:00:00"/>
    <s v="Distribuidora Tica"/>
    <s v="P003"/>
    <x v="2"/>
    <n v="870"/>
    <n v="4.8"/>
    <n v="3.2"/>
    <s v="Embarcado"/>
    <x v="0"/>
    <s v="Apícola"/>
    <x v="0"/>
    <n v="0.02"/>
    <s v="Estratégico"/>
    <n v="4176"/>
    <n v="2784"/>
    <n v="1392"/>
    <n v="0.33333333333333331"/>
    <s v="Alta"/>
    <s v="Pequeña"/>
    <x v="0"/>
  </r>
  <r>
    <x v="83"/>
    <d v="2026-12-14T00:00:00"/>
    <s v="Iberia Foods"/>
    <s v="P004"/>
    <x v="3"/>
    <n v="810"/>
    <n v="8.1999999999999993"/>
    <n v="5.9"/>
    <s v="Entregado"/>
    <x v="2"/>
    <s v="Semillas"/>
    <x v="2"/>
    <n v="0.1"/>
    <s v="Potencial"/>
    <n v="6641.9999999999991"/>
    <n v="4779"/>
    <n v="1862.9999999999991"/>
    <n v="0.2804878048780487"/>
    <s v="Media"/>
    <s v="Mediana"/>
    <x v="2"/>
  </r>
  <r>
    <x v="84"/>
    <d v="2026-12-23T00:00:00"/>
    <s v="Comercial Azteca"/>
    <s v="P001"/>
    <x v="4"/>
    <n v="990"/>
    <n v="6.5"/>
    <n v="4.0999999999999996"/>
    <s v="Pendiente"/>
    <x v="1"/>
    <s v="Café"/>
    <x v="1"/>
    <n v="0.08"/>
    <s v="Potencial"/>
    <n v="6435"/>
    <n v="4058.9999999999995"/>
    <n v="2376.0000000000005"/>
    <n v="0.36923076923076931"/>
    <s v="Alta"/>
    <s v="Mediana"/>
    <x v="1"/>
  </r>
  <r>
    <x v="85"/>
    <d v="2026-12-30T00:00:00"/>
    <s v="Global Foods"/>
    <s v="P005"/>
    <x v="1"/>
    <n v="730"/>
    <n v="12.5"/>
    <n v="8.6999999999999993"/>
    <s v="Entregado"/>
    <x v="4"/>
    <s v="Aceites"/>
    <x v="1"/>
    <n v="0.05"/>
    <s v="Estratégico"/>
    <n v="9125"/>
    <n v="6350.9999999999991"/>
    <n v="2774.0000000000009"/>
    <n v="0.3040000000000001"/>
    <s v="Alta"/>
    <s v="Mediana"/>
    <x v="0"/>
  </r>
  <r>
    <x v="86"/>
    <d v="2026-01-07T00:00:00"/>
    <s v="Comercial Maya"/>
    <s v="P004"/>
    <x v="0"/>
    <n v="780"/>
    <n v="8.1999999999999993"/>
    <n v="5.9"/>
    <s v="Embarcado"/>
    <x v="2"/>
    <s v="Semillas"/>
    <x v="0"/>
    <n v="0.03"/>
    <s v="Estratégico"/>
    <n v="6395.9999999999991"/>
    <n v="4602"/>
    <n v="1793.9999999999991"/>
    <n v="0.2804878048780487"/>
    <s v="Media"/>
    <s v="Mediana"/>
    <x v="1"/>
  </r>
  <r>
    <x v="87"/>
    <d v="2026-01-16T00:00:00"/>
    <s v="Distribuidora Tica"/>
    <s v="P003"/>
    <x v="2"/>
    <n v="930"/>
    <n v="4.8"/>
    <n v="3.2"/>
    <s v="Entregado"/>
    <x v="0"/>
    <s v="Apícola"/>
    <x v="0"/>
    <n v="0.02"/>
    <s v="Estratégico"/>
    <n v="4464"/>
    <n v="2976"/>
    <n v="1488"/>
    <n v="0.33333333333333331"/>
    <s v="Alta"/>
    <s v="Pequeña"/>
    <x v="0"/>
  </r>
  <r>
    <x v="88"/>
    <d v="2026-01-25T00:00:00"/>
    <s v="Iberia Foods"/>
    <s v="P002"/>
    <x v="3"/>
    <n v="870"/>
    <n v="7.1"/>
    <n v="4.8"/>
    <s v="Pendiente"/>
    <x v="3"/>
    <s v="Cacao"/>
    <x v="2"/>
    <n v="0.1"/>
    <s v="Potencial"/>
    <n v="6177"/>
    <n v="4176"/>
    <n v="2001"/>
    <n v="0.323943661971831"/>
    <s v="Alta"/>
    <s v="Mediana"/>
    <x v="1"/>
  </r>
  <r>
    <x v="89"/>
    <d v="2026-02-06T00:00:00"/>
    <s v="Comercial Azteca"/>
    <s v="P005"/>
    <x v="4"/>
    <n v="480"/>
    <n v="12.5"/>
    <n v="8.6999999999999993"/>
    <s v="Embarcado"/>
    <x v="4"/>
    <s v="Aceites"/>
    <x v="1"/>
    <n v="0.08"/>
    <s v="Potencial"/>
    <n v="6000"/>
    <n v="4176"/>
    <n v="1824"/>
    <n v="0.30399999999999999"/>
    <s v="Alta"/>
    <s v="Mediana"/>
    <x v="1"/>
  </r>
  <r>
    <x v="90"/>
    <d v="2026-02-15T00:00:00"/>
    <s v="Global Foods"/>
    <s v="P001"/>
    <x v="1"/>
    <n v="1260"/>
    <n v="6.5"/>
    <n v="4.0999999999999996"/>
    <s v="Entregado"/>
    <x v="1"/>
    <s v="Café"/>
    <x v="1"/>
    <n v="0.05"/>
    <s v="Estratégico"/>
    <n v="8190"/>
    <n v="5166"/>
    <n v="3024"/>
    <n v="0.36923076923076925"/>
    <s v="Alta"/>
    <s v="Mediana"/>
    <x v="0"/>
  </r>
  <r>
    <x v="91"/>
    <d v="2026-02-24T00:00:00"/>
    <s v="Comercial Maya"/>
    <s v="P003"/>
    <x v="0"/>
    <n v="1100"/>
    <n v="4.8"/>
    <n v="3.2"/>
    <s v="Embarcado"/>
    <x v="0"/>
    <s v="Apícola"/>
    <x v="0"/>
    <n v="0.03"/>
    <s v="Estratégico"/>
    <n v="5280"/>
    <n v="3520"/>
    <n v="1760"/>
    <n v="0.33333333333333331"/>
    <s v="Alta"/>
    <s v="Mediana"/>
    <x v="0"/>
  </r>
  <r>
    <x v="92"/>
    <d v="2026-03-05T00:00:00"/>
    <s v="Distribuidora Tica"/>
    <s v="P005"/>
    <x v="2"/>
    <n v="570"/>
    <n v="12.5"/>
    <n v="8.6999999999999993"/>
    <s v="Entregado"/>
    <x v="4"/>
    <s v="Aceites"/>
    <x v="0"/>
    <n v="0.02"/>
    <s v="Estratégico"/>
    <n v="7125"/>
    <n v="4959"/>
    <n v="2166"/>
    <n v="0.30399999999999999"/>
    <s v="Alta"/>
    <s v="Mediana"/>
    <x v="0"/>
  </r>
  <r>
    <x v="93"/>
    <d v="2026-03-14T00:00:00"/>
    <s v="Iberia Foods"/>
    <s v="P004"/>
    <x v="3"/>
    <n v="880"/>
    <n v="8.1999999999999993"/>
    <n v="5.9"/>
    <s v="Embarcado"/>
    <x v="2"/>
    <s v="Semillas"/>
    <x v="2"/>
    <n v="0.1"/>
    <s v="Potencial"/>
    <n v="7215.9999999999991"/>
    <n v="5192"/>
    <n v="2023.9999999999991"/>
    <n v="0.2804878048780487"/>
    <s v="Media"/>
    <s v="Mediana"/>
    <x v="2"/>
  </r>
  <r>
    <x v="94"/>
    <d v="2026-03-23T00:00:00"/>
    <s v="Comercial Azteca"/>
    <s v="P002"/>
    <x v="4"/>
    <n v="1060"/>
    <n v="7.1"/>
    <n v="4.8"/>
    <s v="Entregado"/>
    <x v="3"/>
    <s v="Cacao"/>
    <x v="1"/>
    <n v="0.08"/>
    <s v="Potencial"/>
    <n v="7526"/>
    <n v="5088"/>
    <n v="2438"/>
    <n v="0.323943661971831"/>
    <s v="Alta"/>
    <s v="Mediana"/>
    <x v="1"/>
  </r>
  <r>
    <x v="95"/>
    <d v="2026-04-02T00:00:00"/>
    <s v="Global Foods"/>
    <s v="P003"/>
    <x v="1"/>
    <n v="1490"/>
    <n v="4.8"/>
    <n v="3.2"/>
    <s v="Pendiente"/>
    <x v="0"/>
    <s v="Apícola"/>
    <x v="1"/>
    <n v="0.05"/>
    <s v="Estratégico"/>
    <n v="7152"/>
    <n v="4768"/>
    <n v="2384"/>
    <n v="0.33333333333333331"/>
    <s v="Alta"/>
    <s v="Mediana"/>
    <x v="0"/>
  </r>
  <r>
    <x v="96"/>
    <d v="2026-04-11T00:00:00"/>
    <s v="Comercial Maya"/>
    <s v="P001"/>
    <x v="0"/>
    <n v="910"/>
    <n v="6.5"/>
    <n v="4.0999999999999996"/>
    <s v="Embarcado"/>
    <x v="1"/>
    <s v="Café"/>
    <x v="0"/>
    <n v="0.03"/>
    <s v="Estratégico"/>
    <n v="5915"/>
    <n v="3730.9999999999995"/>
    <n v="2184.0000000000005"/>
    <n v="0.36923076923076931"/>
    <s v="Alta"/>
    <s v="Mediana"/>
    <x v="0"/>
  </r>
  <r>
    <x v="97"/>
    <d v="2026-04-20T00:00:00"/>
    <s v="Distribuidora Tica"/>
    <s v="P004"/>
    <x v="2"/>
    <n v="740"/>
    <n v="8.1999999999999993"/>
    <n v="5.9"/>
    <s v="Entregado"/>
    <x v="2"/>
    <s v="Semillas"/>
    <x v="0"/>
    <n v="0.02"/>
    <s v="Estratégico"/>
    <n v="6067.9999999999991"/>
    <n v="4366"/>
    <n v="1701.9999999999991"/>
    <n v="0.2804878048780487"/>
    <s v="Media"/>
    <s v="Mediana"/>
    <x v="1"/>
  </r>
  <r>
    <x v="98"/>
    <d v="2026-04-29T00:00:00"/>
    <s v="Iberia Foods"/>
    <s v="P005"/>
    <x v="3"/>
    <n v="630"/>
    <n v="12.5"/>
    <n v="8.6999999999999993"/>
    <s v="Embarcado"/>
    <x v="4"/>
    <s v="Aceites"/>
    <x v="2"/>
    <n v="0.1"/>
    <s v="Potencial"/>
    <n v="7875"/>
    <n v="5481"/>
    <n v="2394"/>
    <n v="0.30399999999999999"/>
    <s v="Alta"/>
    <s v="Mediana"/>
    <x v="1"/>
  </r>
  <r>
    <x v="99"/>
    <d v="2026-05-08T00:00:00"/>
    <s v="Comercial Azteca"/>
    <s v="P001"/>
    <x v="4"/>
    <n v="1170"/>
    <n v="6.5"/>
    <n v="4.0999999999999996"/>
    <s v="Entregado"/>
    <x v="1"/>
    <s v="Café"/>
    <x v="1"/>
    <n v="0.08"/>
    <s v="Potencial"/>
    <n v="7605"/>
    <n v="4797"/>
    <n v="2808"/>
    <n v="0.36923076923076925"/>
    <s v="Alta"/>
    <s v="Median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28C69-9097-4228-9D1C-D4FDD0982A93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1:H15" firstHeaderRow="1" firstDataRow="1" firstDataCol="1"/>
  <pivotFields count="21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9" showAll="0"/>
    <pivotField showAll="0"/>
    <pivotField numFmtId="164" showAll="0"/>
    <pivotField numFmtId="44" showAll="0"/>
    <pivotField numFmtId="164" showAll="0"/>
    <pivotField numFmtId="9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Operación" fld="0" subtotal="count" baseField="0" baseItem="0"/>
  </dataFields>
  <formats count="7">
    <format dxfId="6">
      <pivotArea dataOnly="0" labelOnly="1" fieldPosition="0">
        <references count="1">
          <reference field="20" count="1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0" type="button" dataOnly="0" labelOnly="1" outline="0" axis="axisRow" fieldPosition="0"/>
    </format>
    <format dxfId="2">
      <pivotArea dataOnly="0" labelOnly="1" fieldPosition="0">
        <references count="1">
          <reference field="2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DEAA8-1313-4021-A900-89B1E6ABEA6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2:H6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9" showAll="0"/>
    <pivotField showAll="0"/>
    <pivotField dataField="1" numFmtId="164" showAll="0"/>
    <pivotField numFmtId="44" showAll="0"/>
    <pivotField numFmtId="164" showAll="0"/>
    <pivotField numFmtId="9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FOB (Free On Board)" fld="14" baseField="0" baseItem="0" numFmtId="164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1" type="button" dataOnly="0" labelOnly="1" outline="0" axis="axisRow" fieldPosition="0"/>
    </format>
    <format dxfId="9">
      <pivotArea dataOnly="0" labelOnly="1" fieldPosition="0">
        <references count="1">
          <reference field="1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F502F-A036-420D-AAFA-15E58B16E0A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Producto">
  <location ref="D11:E17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9" showAll="0"/>
    <pivotField showAll="0"/>
    <pivotField numFmtId="164" showAll="0"/>
    <pivotField numFmtId="44" showAll="0"/>
    <pivotField dataField="1" numFmtId="164" showAll="0"/>
    <pivotField numFmtId="9"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" fld="16" baseField="0" baseItem="0" numFmtId="164"/>
  </dataFields>
  <formats count="8">
    <format dxfId="20">
      <pivotArea dataOnly="0" labelOnly="1" fieldPosition="0">
        <references count="1">
          <reference field="9" count="1">
            <x v="0"/>
          </reference>
        </references>
      </pivotArea>
    </format>
    <format dxfId="19">
      <pivotArea dataOnly="0" labelOnly="1" fieldPosition="0">
        <references count="1">
          <reference field="9" count="1">
            <x v="3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C2198-6C4D-4525-8E9F-9F6EB772103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ais Destino">
  <location ref="D2:E8" firstHeaderRow="1" firstDataRow="1" firstDataCol="1"/>
  <pivotFields count="21">
    <pivotField showAll="0"/>
    <pivotField numFmtId="14"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numFmtId="9" showAll="0"/>
    <pivotField showAll="0"/>
    <pivotField dataField="1" numFmtId="164" showAll="0"/>
    <pivotField numFmtId="44" showAll="0"/>
    <pivotField numFmtId="164" showAll="0"/>
    <pivotField numFmtId="9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 (Free On Board)" fld="14" baseField="0" baseItem="0" numFmtId="164"/>
  </dataFields>
  <formats count="16">
    <format dxfId="36">
      <pivotArea dataOnly="0" labelOnly="1" fieldPosition="0">
        <references count="1">
          <reference field="4" count="1">
            <x v="3"/>
          </reference>
        </references>
      </pivotArea>
    </format>
    <format dxfId="35">
      <pivotArea collapsedLevelsAreSubtotals="1" fieldPosition="0">
        <references count="1">
          <reference field="4" count="1">
            <x v="3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dataOnly="0" fieldPosition="0">
        <references count="1">
          <reference field="4" count="1">
            <x v="3"/>
          </reference>
        </references>
      </pivotArea>
    </format>
    <format dxfId="27">
      <pivotArea dataOnly="0" labelOnly="1" fieldPosition="0">
        <references count="1">
          <reference field="4" count="1">
            <x v="0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6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5D8A9-BA94-41C9-A971-68600A790E84}" name="Tabla1" displayName="Tabla1" ref="B4:V104" totalsRowShown="0" headerRowDxfId="60" dataDxfId="59" tableBorderDxfId="58">
  <autoFilter ref="B4:V104" xr:uid="{1FE5D8A9-BA94-41C9-A971-68600A790E84}"/>
  <tableColumns count="21">
    <tableColumn id="1" xr3:uid="{CF5250DD-BD6C-4AA2-A856-092B30DC20D1}" name="ID_Operación" dataDxfId="57"/>
    <tableColumn id="2" xr3:uid="{5207D3AB-0622-4521-9017-010D32DE068C}" name="Fecha" dataDxfId="56"/>
    <tableColumn id="3" xr3:uid="{7C2591D8-AD18-4566-A363-6DB82E6003F6}" name="Cliente" dataDxfId="55"/>
    <tableColumn id="4" xr3:uid="{0DEF1FE6-98CD-4A19-BF6B-DFFC4A9D1BA9}" name="Código Producto" dataDxfId="54"/>
    <tableColumn id="5" xr3:uid="{000B10E4-154A-46BB-A154-7A432D928BFE}" name="País Destino" dataDxfId="53"/>
    <tableColumn id="6" xr3:uid="{5F0C8CE4-2940-44E1-9F2C-AF1883D19C81}" name="Unidades" dataDxfId="52"/>
    <tableColumn id="7" xr3:uid="{0B7C0105-6CD5-4FFD-9A01-9DB2B8CCC119}" name="Precio FOB" dataDxfId="51"/>
    <tableColumn id="8" xr3:uid="{4C9DE14B-4B28-41D5-8763-04BE705B309B}" name="Costo Unitario" dataDxfId="50"/>
    <tableColumn id="9" xr3:uid="{5E317133-A0D0-4618-AF01-1FFF5ED9CD92}" name="Estado" dataDxfId="49"/>
    <tableColumn id="10" xr3:uid="{774DF00D-56F8-4701-B2DA-76E2CE6561FF}" name="producto" dataDxfId="48">
      <calculatedColumnFormula>VLOOKUP(E:E,'2. Productos'!$C$3:$F$8,2,FALSE)</calculatedColumnFormula>
    </tableColumn>
    <tableColumn id="11" xr3:uid="{6FDE8B02-394F-44CA-BEB7-686F81509ABA}" name="Categoria" dataDxfId="47">
      <calculatedColumnFormula>VLOOKUP(E:E,'2. Productos'!$C$3:$E$8,3,FALSE)</calculatedColumnFormula>
    </tableColumn>
    <tableColumn id="12" xr3:uid="{F956D566-E182-4A07-93B3-FD8B8BBFE884}" name="Región" dataDxfId="46">
      <calculatedColumnFormula>VLOOKUP(F:F,'3. Mercados'!$C$3:$F$9,2,FALSE)</calculatedColumnFormula>
    </tableColumn>
    <tableColumn id="13" xr3:uid="{16C5008A-72F6-4EDC-BBBD-ED64920576D2}" name="Arancel %" dataDxfId="45" dataCellStyle="Porcentaje">
      <calculatedColumnFormula>VLOOKUP(F:F,'3. Mercados'!$C$3:$F$9,3,FALSE)</calculatedColumnFormula>
    </tableColumn>
    <tableColumn id="14" xr3:uid="{C77A8B4D-4DFF-44DB-961B-0CA129B4587B}" name="Clasificación Mercado" dataDxfId="44">
      <calculatedColumnFormula>VLOOKUP(F:F,'3. Mercados'!$C$3:$F$9,4,FALSE)</calculatedColumnFormula>
    </tableColumn>
    <tableColumn id="15" xr3:uid="{689A0FF5-E558-49F9-B2D5-7B52110ABAEF}" name="Valor FOB (Free On Board)" dataDxfId="43">
      <calculatedColumnFormula>Tabla1[[#This Row],[Unidades]]*Tabla1[[#This Row],[Precio FOB]]</calculatedColumnFormula>
    </tableColumn>
    <tableColumn id="16" xr3:uid="{3B4D399D-649A-44C5-9F38-7EBDA75F30BC}" name="Costo total" dataDxfId="42" dataCellStyle="Moneda">
      <calculatedColumnFormula>Tabla1[[#This Row],[Unidades]]*Tabla1[[#This Row],[Costo Unitario]]</calculatedColumnFormula>
    </tableColumn>
    <tableColumn id="17" xr3:uid="{880AA2D0-03C7-4B4C-878C-E4A39ABB8278}" name="Utilidad" dataDxfId="41">
      <calculatedColumnFormula>Tabla1[[#This Row],[Valor FOB (Free On Board)]]-Tabla1[[#This Row],[Costo total]]</calculatedColumnFormula>
    </tableColumn>
    <tableColumn id="18" xr3:uid="{50090826-1E93-44BB-AEA2-EA54C73DC2BA}" name="Margen" dataDxfId="40" dataCellStyle="Porcentaje">
      <calculatedColumnFormula>Tabla1[[#This Row],[Utilidad]]/Tabla1[[#This Row],[Valor FOB (Free On Board)]]</calculatedColumnFormula>
    </tableColumn>
    <tableColumn id="19" xr3:uid="{6428BC1E-0596-4F54-A68C-702A1811263A}" name="Nivel de rentabilidad" dataDxfId="39">
      <calculatedColumnFormula>IF(Tabla1[[#This Row],[Margen]]&gt;=30%,"Alta",IF(Tabla1[[#This Row],[Margen]]&gt;=15%,"Media","Baja"))</calculatedColumnFormula>
    </tableColumn>
    <tableColumn id="20" xr3:uid="{F4F0405E-C2B3-4538-893F-4AC1FFF33A32}" name="Nivel de operación" dataDxfId="38">
      <calculatedColumnFormula>IF(Tabla1[[#This Row],[Valor FOB (Free On Board)]]&gt;=10000,"Grande",IF(Tabla1[[#This Row],[Valor FOB (Free On Board)]]&gt;=5000,"Mediana","Pequeña"))</calculatedColumnFormula>
    </tableColumn>
    <tableColumn id="21" xr3:uid="{3EA6A188-2874-40B8-BBDC-FC7047EAAED9}" name="Prioridad comercial" dataDxfId="37">
      <calculatedColumnFormula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sheetPr>
    <tabColor theme="9" tint="0.39997558519241921"/>
  </sheetPr>
  <dimension ref="B1:AF104"/>
  <sheetViews>
    <sheetView topLeftCell="B1" zoomScale="94" zoomScaleNormal="94" workbookViewId="0">
      <selection activeCell="N1" sqref="N1:P1"/>
    </sheetView>
  </sheetViews>
  <sheetFormatPr baseColWidth="10" defaultRowHeight="14.4" x14ac:dyDescent="0.3"/>
  <cols>
    <col min="1" max="1" width="11.5546875" style="2"/>
    <col min="2" max="2" width="14.33203125" style="2" customWidth="1"/>
    <col min="3" max="3" width="11.77734375" style="2" customWidth="1"/>
    <col min="4" max="4" width="16.44140625" style="2" customWidth="1"/>
    <col min="5" max="5" width="17" style="2" customWidth="1"/>
    <col min="6" max="6" width="13" style="2" customWidth="1"/>
    <col min="7" max="7" width="11.5546875" style="2"/>
    <col min="8" max="8" width="11.88671875" style="23" customWidth="1"/>
    <col min="9" max="9" width="14.88671875" style="2" customWidth="1"/>
    <col min="10" max="10" width="11.109375" style="2" bestFit="1" customWidth="1"/>
    <col min="11" max="11" width="16.44140625" style="2" customWidth="1"/>
    <col min="12" max="12" width="11.5546875" style="2"/>
    <col min="13" max="13" width="13.109375" style="2" bestFit="1" customWidth="1"/>
    <col min="14" max="14" width="11.5546875" style="13"/>
    <col min="15" max="15" width="23.88671875" style="2" bestFit="1" customWidth="1"/>
    <col min="16" max="16" width="27.88671875" style="2" bestFit="1" customWidth="1"/>
    <col min="17" max="17" width="27.88671875" style="31" customWidth="1"/>
    <col min="18" max="18" width="27.88671875" style="2" customWidth="1"/>
    <col min="19" max="19" width="27.88671875" style="40" customWidth="1"/>
    <col min="20" max="20" width="27.88671875" style="2" customWidth="1"/>
    <col min="21" max="21" width="22.5546875" style="2" bestFit="1" customWidth="1"/>
    <col min="22" max="22" width="21.77734375" style="2" bestFit="1" customWidth="1"/>
    <col min="23" max="16384" width="11.5546875" style="2"/>
  </cols>
  <sheetData>
    <row r="1" spans="2:31" ht="18" x14ac:dyDescent="0.35">
      <c r="F1" s="17"/>
      <c r="G1" s="17"/>
      <c r="H1" s="22"/>
      <c r="I1" s="17"/>
      <c r="M1" s="17"/>
      <c r="N1" s="17"/>
      <c r="O1" s="22" t="s">
        <v>173</v>
      </c>
      <c r="P1" s="17"/>
      <c r="Q1" s="17"/>
    </row>
    <row r="2" spans="2:31" ht="18" x14ac:dyDescent="0.35">
      <c r="F2" s="17"/>
      <c r="G2" s="17"/>
      <c r="H2" s="22"/>
      <c r="I2" s="17"/>
      <c r="M2" s="17"/>
      <c r="N2" s="17"/>
      <c r="O2" s="22" t="s">
        <v>174</v>
      </c>
      <c r="P2" s="17"/>
      <c r="Q2" s="17"/>
    </row>
    <row r="4" spans="2:31" x14ac:dyDescent="0.3">
      <c r="B4" s="9" t="s">
        <v>151</v>
      </c>
      <c r="C4" s="10" t="s">
        <v>0</v>
      </c>
      <c r="D4" s="10" t="s">
        <v>1</v>
      </c>
      <c r="E4" s="10" t="s">
        <v>2</v>
      </c>
      <c r="F4" s="10" t="s">
        <v>3</v>
      </c>
      <c r="G4" s="10" t="s">
        <v>4</v>
      </c>
      <c r="H4" s="24" t="s">
        <v>5</v>
      </c>
      <c r="I4" s="10" t="s">
        <v>6</v>
      </c>
      <c r="J4" s="11" t="s">
        <v>7</v>
      </c>
      <c r="K4" s="10" t="s">
        <v>155</v>
      </c>
      <c r="L4" s="10" t="s">
        <v>171</v>
      </c>
      <c r="M4" s="10" t="s">
        <v>50</v>
      </c>
      <c r="N4" s="12" t="s">
        <v>51</v>
      </c>
      <c r="O4" s="10" t="s">
        <v>172</v>
      </c>
      <c r="P4" s="29" t="s">
        <v>175</v>
      </c>
      <c r="Q4" s="32" t="s">
        <v>176</v>
      </c>
      <c r="R4" s="26" t="s">
        <v>177</v>
      </c>
      <c r="S4" s="41" t="s">
        <v>178</v>
      </c>
      <c r="T4" s="26" t="s">
        <v>184</v>
      </c>
      <c r="U4" s="26" t="s">
        <v>185</v>
      </c>
      <c r="V4" s="29" t="s">
        <v>186</v>
      </c>
      <c r="W4" s="63"/>
      <c r="X4" s="63"/>
      <c r="AE4" s="37"/>
    </row>
    <row r="5" spans="2:31" x14ac:dyDescent="0.3">
      <c r="B5" s="14" t="s">
        <v>8</v>
      </c>
      <c r="C5" s="7">
        <v>46027</v>
      </c>
      <c r="D5" s="5" t="s">
        <v>9</v>
      </c>
      <c r="E5" s="5" t="s">
        <v>10</v>
      </c>
      <c r="F5" s="5" t="s">
        <v>11</v>
      </c>
      <c r="G5" s="5">
        <v>850</v>
      </c>
      <c r="H5" s="25">
        <v>4.8</v>
      </c>
      <c r="I5" s="5">
        <v>3.2</v>
      </c>
      <c r="J5" s="15" t="s">
        <v>12</v>
      </c>
      <c r="K5" s="5" t="str">
        <f>VLOOKUP(E:E,'2. Productos'!$C$3:$F$8,2,FALSE)</f>
        <v>Miel natural</v>
      </c>
      <c r="L5" s="5" t="str">
        <f>VLOOKUP(E:E,'2. Productos'!$C$3:$E$8,3,FALSE)</f>
        <v>Apícola</v>
      </c>
      <c r="M5" s="5" t="str">
        <f>VLOOKUP(F:F,'3. Mercados'!$C$3:$F$9,2,FALSE)</f>
        <v>Centroamérica</v>
      </c>
      <c r="N5" s="16">
        <f>VLOOKUP(F:F,'3. Mercados'!$C$3:$F$9,3,FALSE)</f>
        <v>0.03</v>
      </c>
      <c r="O5" s="5" t="str">
        <f>VLOOKUP(F:F,'3. Mercados'!$C$3:$F$9,4,FALSE)</f>
        <v>Estratégico</v>
      </c>
      <c r="P5" s="30">
        <f>Tabla1[[#This Row],[Unidades]]*Tabla1[[#This Row],[Precio FOB]]</f>
        <v>4080</v>
      </c>
      <c r="Q5" s="33">
        <f>Tabla1[[#This Row],[Unidades]]*Tabla1[[#This Row],[Costo Unitario]]</f>
        <v>2720</v>
      </c>
      <c r="R5" s="25">
        <f>Tabla1[[#This Row],[Valor FOB (Free On Board)]]-Tabla1[[#This Row],[Costo total]]</f>
        <v>1360</v>
      </c>
      <c r="S5" s="42">
        <f>Tabla1[[#This Row],[Utilidad]]/Tabla1[[#This Row],[Valor FOB (Free On Board)]]</f>
        <v>0.33333333333333331</v>
      </c>
      <c r="T5" s="25" t="str">
        <f>IF(Tabla1[[#This Row],[Margen]]&gt;=30%,"Alta",IF(Tabla1[[#This Row],[Margen]]&gt;=15%,"Media","Baja"))</f>
        <v>Alta</v>
      </c>
      <c r="U5" s="25" t="str">
        <f>IF(Tabla1[[#This Row],[Valor FOB (Free On Board)]]&gt;=10000,"Grande",IF(Tabla1[[#This Row],[Valor FOB (Free On Board)]]&gt;=5000,"Mediana","Pequeña"))</f>
        <v>Pequeña</v>
      </c>
      <c r="V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X5"/>
      <c r="Z5" s="37"/>
      <c r="AA5" s="62" t="s">
        <v>179</v>
      </c>
      <c r="AB5" s="62"/>
      <c r="AC5" s="62"/>
      <c r="AE5"/>
    </row>
    <row r="6" spans="2:31" x14ac:dyDescent="0.3">
      <c r="B6" s="14" t="s">
        <v>13</v>
      </c>
      <c r="C6" s="7">
        <v>46034</v>
      </c>
      <c r="D6" s="5" t="s">
        <v>14</v>
      </c>
      <c r="E6" s="5" t="s">
        <v>15</v>
      </c>
      <c r="F6" s="5" t="s">
        <v>16</v>
      </c>
      <c r="G6" s="5">
        <v>1200</v>
      </c>
      <c r="H6" s="25">
        <v>6.5</v>
      </c>
      <c r="I6" s="5">
        <v>4.0999999999999996</v>
      </c>
      <c r="J6" s="15" t="s">
        <v>17</v>
      </c>
      <c r="K6" s="5" t="str">
        <f>VLOOKUP(E:E,'2. Productos'!$C$3:$F$8,2,FALSE)</f>
        <v>Café especial</v>
      </c>
      <c r="L6" s="5" t="str">
        <f>VLOOKUP(E:E,'2. Productos'!$C$3:$E$8,3,FALSE)</f>
        <v>Café</v>
      </c>
      <c r="M6" s="5" t="str">
        <f>VLOOKUP(F:F,'3. Mercados'!$C$3:$F$9,2,FALSE)</f>
        <v>Norteamérica</v>
      </c>
      <c r="N6" s="16">
        <f>VLOOKUP(F:F,'3. Mercados'!$C$3:$F$9,3,FALSE)</f>
        <v>0.05</v>
      </c>
      <c r="O6" s="5" t="str">
        <f>VLOOKUP(F:F,'3. Mercados'!$C$3:$F$9,4,FALSE)</f>
        <v>Estratégico</v>
      </c>
      <c r="P6" s="28">
        <f>Tabla1[[#This Row],[Unidades]]*Tabla1[[#This Row],[Precio FOB]]</f>
        <v>7800</v>
      </c>
      <c r="Q6" s="34">
        <f>Tabla1[[#This Row],[Unidades]]*Tabla1[[#This Row],[Costo Unitario]]</f>
        <v>4920</v>
      </c>
      <c r="R6" s="25">
        <f>Tabla1[[#This Row],[Valor FOB (Free On Board)]]-Tabla1[[#This Row],[Costo total]]</f>
        <v>2880</v>
      </c>
      <c r="S6" s="42">
        <f>Tabla1[[#This Row],[Utilidad]]/Tabla1[[#This Row],[Valor FOB (Free On Board)]]</f>
        <v>0.36923076923076925</v>
      </c>
      <c r="T6" s="25" t="str">
        <f>IF(Tabla1[[#This Row],[Margen]]&gt;=30%,"Alta",IF(Tabla1[[#This Row],[Margen]]&gt;=15%,"Media","Baja"))</f>
        <v>Alta</v>
      </c>
      <c r="U6" s="25" t="str">
        <f>IF(Tabla1[[#This Row],[Valor FOB (Free On Board)]]&gt;=10000,"Grande",IF(Tabla1[[#This Row],[Valor FOB (Free On Board)]]&gt;=5000,"Mediana","Pequeña"))</f>
        <v>Mediana</v>
      </c>
      <c r="V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X6" s="19"/>
      <c r="Z6" s="21" t="s">
        <v>180</v>
      </c>
      <c r="AA6" s="21"/>
      <c r="AB6" s="21"/>
      <c r="AC6" s="18"/>
      <c r="AE6"/>
    </row>
    <row r="7" spans="2:31" x14ac:dyDescent="0.3">
      <c r="B7" s="14" t="s">
        <v>18</v>
      </c>
      <c r="C7" s="7">
        <v>46042</v>
      </c>
      <c r="D7" s="5" t="s">
        <v>19</v>
      </c>
      <c r="E7" s="5" t="s">
        <v>20</v>
      </c>
      <c r="F7" s="5" t="s">
        <v>21</v>
      </c>
      <c r="G7" s="5">
        <v>650</v>
      </c>
      <c r="H7" s="25">
        <v>8.1999999999999993</v>
      </c>
      <c r="I7" s="5">
        <v>5.9</v>
      </c>
      <c r="J7" s="15" t="s">
        <v>12</v>
      </c>
      <c r="K7" s="5" t="str">
        <f>VLOOKUP(E:E,'2. Productos'!$C$3:$F$8,2,FALSE)</f>
        <v>Maní procesado</v>
      </c>
      <c r="L7" s="5" t="str">
        <f>VLOOKUP(E:E,'2. Productos'!$C$3:$E$8,3,FALSE)</f>
        <v>Semillas</v>
      </c>
      <c r="M7" s="5" t="str">
        <f>VLOOKUP(F:F,'3. Mercados'!$C$3:$F$9,2,FALSE)</f>
        <v>Centroamérica</v>
      </c>
      <c r="N7" s="16">
        <f>VLOOKUP(F:F,'3. Mercados'!$C$3:$F$9,3,FALSE)</f>
        <v>0.02</v>
      </c>
      <c r="O7" s="5" t="str">
        <f>VLOOKUP(F:F,'3. Mercados'!$C$3:$F$9,4,FALSE)</f>
        <v>Estratégico</v>
      </c>
      <c r="P7" s="28">
        <f>Tabla1[[#This Row],[Unidades]]*Tabla1[[#This Row],[Precio FOB]]</f>
        <v>5329.9999999999991</v>
      </c>
      <c r="Q7" s="34">
        <f>Tabla1[[#This Row],[Unidades]]*Tabla1[[#This Row],[Costo Unitario]]</f>
        <v>3835.0000000000005</v>
      </c>
      <c r="R7" s="25">
        <f>Tabla1[[#This Row],[Valor FOB (Free On Board)]]-Tabla1[[#This Row],[Costo total]]</f>
        <v>1494.9999999999986</v>
      </c>
      <c r="S7" s="42">
        <f>Tabla1[[#This Row],[Utilidad]]/Tabla1[[#This Row],[Valor FOB (Free On Board)]]</f>
        <v>0.28048780487804859</v>
      </c>
      <c r="T7" s="25" t="str">
        <f>IF(Tabla1[[#This Row],[Margen]]&gt;=30%,"Alta",IF(Tabla1[[#This Row],[Margen]]&gt;=15%,"Media","Baja"))</f>
        <v>Media</v>
      </c>
      <c r="U7" s="25" t="str">
        <f>IF(Tabla1[[#This Row],[Valor FOB (Free On Board)]]&gt;=10000,"Grande",IF(Tabla1[[#This Row],[Valor FOB (Free On Board)]]&gt;=5000,"Mediana","Pequeña"))</f>
        <v>Mediana</v>
      </c>
      <c r="V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X7" s="19"/>
      <c r="Z7" s="2">
        <f>COUNTIF(Tabla1[País Destino],"EE.UU.")</f>
        <v>20</v>
      </c>
      <c r="AE7"/>
    </row>
    <row r="8" spans="2:31" x14ac:dyDescent="0.3">
      <c r="B8" s="14" t="s">
        <v>22</v>
      </c>
      <c r="C8" s="7">
        <v>46056</v>
      </c>
      <c r="D8" s="5" t="s">
        <v>23</v>
      </c>
      <c r="E8" s="5" t="s">
        <v>24</v>
      </c>
      <c r="F8" s="5" t="s">
        <v>25</v>
      </c>
      <c r="G8" s="5">
        <v>950</v>
      </c>
      <c r="H8" s="25">
        <v>7.1</v>
      </c>
      <c r="I8" s="5">
        <v>4.8</v>
      </c>
      <c r="J8" s="15" t="s">
        <v>26</v>
      </c>
      <c r="K8" s="5" t="str">
        <f>VLOOKUP(E:E,'2. Productos'!$C$3:$F$8,2,FALSE)</f>
        <v>Cacao en grano</v>
      </c>
      <c r="L8" s="5" t="str">
        <f>VLOOKUP(E:E,'2. Productos'!$C$3:$E$8,3,FALSE)</f>
        <v>Cacao</v>
      </c>
      <c r="M8" s="5" t="str">
        <f>VLOOKUP(F:F,'3. Mercados'!$C$3:$F$9,2,FALSE)</f>
        <v>Europa</v>
      </c>
      <c r="N8" s="16">
        <f>VLOOKUP(F:F,'3. Mercados'!$C$3:$F$9,3,FALSE)</f>
        <v>0.1</v>
      </c>
      <c r="O8" s="5" t="str">
        <f>VLOOKUP(F:F,'3. Mercados'!$C$3:$F$9,4,FALSE)</f>
        <v>Potencial</v>
      </c>
      <c r="P8" s="28">
        <f>Tabla1[[#This Row],[Unidades]]*Tabla1[[#This Row],[Precio FOB]]</f>
        <v>6745</v>
      </c>
      <c r="Q8" s="34">
        <f>Tabla1[[#This Row],[Unidades]]*Tabla1[[#This Row],[Costo Unitario]]</f>
        <v>4560</v>
      </c>
      <c r="R8" s="25">
        <f>Tabla1[[#This Row],[Valor FOB (Free On Board)]]-Tabla1[[#This Row],[Costo total]]</f>
        <v>2185</v>
      </c>
      <c r="S8" s="42">
        <f>Tabla1[[#This Row],[Utilidad]]/Tabla1[[#This Row],[Valor FOB (Free On Board)]]</f>
        <v>0.323943661971831</v>
      </c>
      <c r="T8" s="25" t="str">
        <f>IF(Tabla1[[#This Row],[Margen]]&gt;=30%,"Alta",IF(Tabla1[[#This Row],[Margen]]&gt;=15%,"Media","Baja"))</f>
        <v>Alta</v>
      </c>
      <c r="U8" s="25" t="str">
        <f>IF(Tabla1[[#This Row],[Valor FOB (Free On Board)]]&gt;=10000,"Grande",IF(Tabla1[[#This Row],[Valor FOB (Free On Board)]]&gt;=5000,"Mediana","Pequeña"))</f>
        <v>Mediana</v>
      </c>
      <c r="V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X8" s="19"/>
      <c r="AE8"/>
    </row>
    <row r="9" spans="2:31" x14ac:dyDescent="0.3">
      <c r="B9" s="14" t="s">
        <v>27</v>
      </c>
      <c r="C9" s="7">
        <v>46068</v>
      </c>
      <c r="D9" s="5" t="s">
        <v>28</v>
      </c>
      <c r="E9" s="5" t="s">
        <v>29</v>
      </c>
      <c r="F9" s="5" t="s">
        <v>30</v>
      </c>
      <c r="G9" s="5">
        <v>500</v>
      </c>
      <c r="H9" s="25">
        <v>12.5</v>
      </c>
      <c r="I9" s="5">
        <v>8.6999999999999993</v>
      </c>
      <c r="J9" s="15" t="s">
        <v>17</v>
      </c>
      <c r="K9" s="5" t="str">
        <f>VLOOKUP(E:E,'2. Productos'!$C$3:$F$8,2,FALSE)</f>
        <v>Aceite de ajonjolí</v>
      </c>
      <c r="L9" s="5" t="str">
        <f>VLOOKUP(E:E,'2. Productos'!$C$3:$E$8,3,FALSE)</f>
        <v>Aceites</v>
      </c>
      <c r="M9" s="5" t="str">
        <f>VLOOKUP(F:F,'3. Mercados'!$C$3:$F$9,2,FALSE)</f>
        <v>Norteamérica</v>
      </c>
      <c r="N9" s="16">
        <f>VLOOKUP(F:F,'3. Mercados'!$C$3:$F$9,3,FALSE)</f>
        <v>0.08</v>
      </c>
      <c r="O9" s="5" t="str">
        <f>VLOOKUP(F:F,'3. Mercados'!$C$3:$F$9,4,FALSE)</f>
        <v>Potencial</v>
      </c>
      <c r="P9" s="28">
        <f>Tabla1[[#This Row],[Unidades]]*Tabla1[[#This Row],[Precio FOB]]</f>
        <v>6250</v>
      </c>
      <c r="Q9" s="34">
        <f>Tabla1[[#This Row],[Unidades]]*Tabla1[[#This Row],[Costo Unitario]]</f>
        <v>4350</v>
      </c>
      <c r="R9" s="25">
        <f>Tabla1[[#This Row],[Valor FOB (Free On Board)]]-Tabla1[[#This Row],[Costo total]]</f>
        <v>1900</v>
      </c>
      <c r="S9" s="42">
        <f>Tabla1[[#This Row],[Utilidad]]/Tabla1[[#This Row],[Valor FOB (Free On Board)]]</f>
        <v>0.30399999999999999</v>
      </c>
      <c r="T9" s="25" t="str">
        <f>IF(Tabla1[[#This Row],[Margen]]&gt;=30%,"Alta",IF(Tabla1[[#This Row],[Margen]]&gt;=15%,"Media","Baja"))</f>
        <v>Alta</v>
      </c>
      <c r="U9" s="25" t="str">
        <f>IF(Tabla1[[#This Row],[Valor FOB (Free On Board)]]&gt;=10000,"Grande",IF(Tabla1[[#This Row],[Valor FOB (Free On Board)]]&gt;=5000,"Mediana","Pequeña"))</f>
        <v>Mediana</v>
      </c>
      <c r="V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X9" s="20"/>
      <c r="Z9" s="8" t="s">
        <v>181</v>
      </c>
      <c r="AA9" s="18"/>
      <c r="AB9" s="18"/>
      <c r="AE9"/>
    </row>
    <row r="10" spans="2:31" x14ac:dyDescent="0.3">
      <c r="B10" s="14" t="s">
        <v>31</v>
      </c>
      <c r="C10" s="7">
        <v>46081</v>
      </c>
      <c r="D10" s="5" t="s">
        <v>14</v>
      </c>
      <c r="E10" s="5" t="s">
        <v>10</v>
      </c>
      <c r="F10" s="5" t="s">
        <v>16</v>
      </c>
      <c r="G10" s="5">
        <v>1400</v>
      </c>
      <c r="H10" s="25">
        <v>4.8</v>
      </c>
      <c r="I10" s="5">
        <v>3.2</v>
      </c>
      <c r="J10" s="15" t="s">
        <v>17</v>
      </c>
      <c r="K10" s="5" t="str">
        <f>VLOOKUP(E:E,'2. Productos'!$C$3:$F$8,2,FALSE)</f>
        <v>Miel natural</v>
      </c>
      <c r="L10" s="5" t="str">
        <f>VLOOKUP(E:E,'2. Productos'!$C$3:$E$8,3,FALSE)</f>
        <v>Apícola</v>
      </c>
      <c r="M10" s="5" t="str">
        <f>VLOOKUP(F:F,'3. Mercados'!$C$3:$F$9,2,FALSE)</f>
        <v>Norteamérica</v>
      </c>
      <c r="N10" s="16">
        <f>VLOOKUP(F:F,'3. Mercados'!$C$3:$F$9,3,FALSE)</f>
        <v>0.05</v>
      </c>
      <c r="O10" s="5" t="str">
        <f>VLOOKUP(F:F,'3. Mercados'!$C$3:$F$9,4,FALSE)</f>
        <v>Estratégico</v>
      </c>
      <c r="P10" s="25">
        <f>Tabla1[[#This Row],[Unidades]]*Tabla1[[#This Row],[Precio FOB]]</f>
        <v>6720</v>
      </c>
      <c r="Q10" s="35">
        <f>Tabla1[[#This Row],[Unidades]]*Tabla1[[#This Row],[Costo Unitario]]</f>
        <v>4480</v>
      </c>
      <c r="R10" s="25">
        <f>Tabla1[[#This Row],[Valor FOB (Free On Board)]]-Tabla1[[#This Row],[Costo total]]</f>
        <v>2240</v>
      </c>
      <c r="S10" s="42">
        <f>Tabla1[[#This Row],[Utilidad]]/Tabla1[[#This Row],[Valor FOB (Free On Board)]]</f>
        <v>0.33333333333333331</v>
      </c>
      <c r="T10" s="25" t="str">
        <f>IF(Tabla1[[#This Row],[Margen]]&gt;=30%,"Alta",IF(Tabla1[[#This Row],[Margen]]&gt;=15%,"Media","Baja"))</f>
        <v>Alta</v>
      </c>
      <c r="U10" s="25" t="str">
        <f>IF(Tabla1[[#This Row],[Valor FOB (Free On Board)]]&gt;=10000,"Grande",IF(Tabla1[[#This Row],[Valor FOB (Free On Board)]]&gt;=5000,"Mediana","Pequeña"))</f>
        <v>Mediana</v>
      </c>
      <c r="V1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Z10" s="2">
        <f>COUNTIF(Tabla1[Estado],"Pendiente")</f>
        <v>15</v>
      </c>
    </row>
    <row r="11" spans="2:31" x14ac:dyDescent="0.3">
      <c r="B11" s="14" t="s">
        <v>32</v>
      </c>
      <c r="C11" s="7">
        <v>46089</v>
      </c>
      <c r="D11" s="5" t="s">
        <v>19</v>
      </c>
      <c r="E11" s="5" t="s">
        <v>15</v>
      </c>
      <c r="F11" s="5" t="s">
        <v>21</v>
      </c>
      <c r="G11" s="5">
        <v>900</v>
      </c>
      <c r="H11" s="25">
        <v>6.5</v>
      </c>
      <c r="I11" s="5">
        <v>4.0999999999999996</v>
      </c>
      <c r="J11" s="15" t="s">
        <v>12</v>
      </c>
      <c r="K11" s="5" t="str">
        <f>VLOOKUP(E:E,'2. Productos'!$C$3:$F$8,2,FALSE)</f>
        <v>Café especial</v>
      </c>
      <c r="L11" s="5" t="str">
        <f>VLOOKUP(E:E,'2. Productos'!$C$3:$E$8,3,FALSE)</f>
        <v>Café</v>
      </c>
      <c r="M11" s="5" t="str">
        <f>VLOOKUP(F:F,'3. Mercados'!$C$3:$F$9,2,FALSE)</f>
        <v>Centroamérica</v>
      </c>
      <c r="N11" s="16">
        <f>VLOOKUP(F:F,'3. Mercados'!$C$3:$F$9,3,FALSE)</f>
        <v>0.02</v>
      </c>
      <c r="O11" s="5" t="str">
        <f>VLOOKUP(F:F,'3. Mercados'!$C$3:$F$9,4,FALSE)</f>
        <v>Estratégico</v>
      </c>
      <c r="P11" s="25">
        <f>Tabla1[[#This Row],[Unidades]]*Tabla1[[#This Row],[Precio FOB]]</f>
        <v>5850</v>
      </c>
      <c r="Q11" s="35">
        <f>Tabla1[[#This Row],[Unidades]]*Tabla1[[#This Row],[Costo Unitario]]</f>
        <v>3689.9999999999995</v>
      </c>
      <c r="R11" s="25">
        <f>Tabla1[[#This Row],[Valor FOB (Free On Board)]]-Tabla1[[#This Row],[Costo total]]</f>
        <v>2160.0000000000005</v>
      </c>
      <c r="S11" s="42">
        <f>Tabla1[[#This Row],[Utilidad]]/Tabla1[[#This Row],[Valor FOB (Free On Board)]]</f>
        <v>0.36923076923076931</v>
      </c>
      <c r="T11" s="25" t="str">
        <f>IF(Tabla1[[#This Row],[Margen]]&gt;=30%,"Alta",IF(Tabla1[[#This Row],[Margen]]&gt;=15%,"Media","Baja"))</f>
        <v>Alta</v>
      </c>
      <c r="U11" s="25" t="str">
        <f>IF(Tabla1[[#This Row],[Valor FOB (Free On Board)]]&gt;=10000,"Grande",IF(Tabla1[[#This Row],[Valor FOB (Free On Board)]]&gt;=5000,"Mediana","Pequeña"))</f>
        <v>Mediana</v>
      </c>
      <c r="V1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12" spans="2:31" x14ac:dyDescent="0.3">
      <c r="B12" s="14" t="s">
        <v>33</v>
      </c>
      <c r="C12" s="7">
        <v>46099</v>
      </c>
      <c r="D12" s="5" t="s">
        <v>9</v>
      </c>
      <c r="E12" s="5" t="s">
        <v>20</v>
      </c>
      <c r="F12" s="5" t="s">
        <v>11</v>
      </c>
      <c r="G12" s="5">
        <v>750</v>
      </c>
      <c r="H12" s="25">
        <v>8.1999999999999993</v>
      </c>
      <c r="I12" s="5">
        <v>5.9</v>
      </c>
      <c r="J12" s="15" t="s">
        <v>17</v>
      </c>
      <c r="K12" s="5" t="str">
        <f>VLOOKUP(E:E,'2. Productos'!$C$3:$F$8,2,FALSE)</f>
        <v>Maní procesado</v>
      </c>
      <c r="L12" s="5" t="str">
        <f>VLOOKUP(E:E,'2. Productos'!$C$3:$E$8,3,FALSE)</f>
        <v>Semillas</v>
      </c>
      <c r="M12" s="5" t="str">
        <f>VLOOKUP(F:F,'3. Mercados'!$C$3:$F$9,2,FALSE)</f>
        <v>Centroamérica</v>
      </c>
      <c r="N12" s="16">
        <f>VLOOKUP(F:F,'3. Mercados'!$C$3:$F$9,3,FALSE)</f>
        <v>0.03</v>
      </c>
      <c r="O12" s="5" t="str">
        <f>VLOOKUP(F:F,'3. Mercados'!$C$3:$F$9,4,FALSE)</f>
        <v>Estratégico</v>
      </c>
      <c r="P12" s="25">
        <f>Tabla1[[#This Row],[Unidades]]*Tabla1[[#This Row],[Precio FOB]]</f>
        <v>6149.9999999999991</v>
      </c>
      <c r="Q12" s="35">
        <f>Tabla1[[#This Row],[Unidades]]*Tabla1[[#This Row],[Costo Unitario]]</f>
        <v>4425</v>
      </c>
      <c r="R12" s="25">
        <f>Tabla1[[#This Row],[Valor FOB (Free On Board)]]-Tabla1[[#This Row],[Costo total]]</f>
        <v>1724.9999999999991</v>
      </c>
      <c r="S12" s="42">
        <f>Tabla1[[#This Row],[Utilidad]]/Tabla1[[#This Row],[Valor FOB (Free On Board)]]</f>
        <v>0.2804878048780487</v>
      </c>
      <c r="T12" s="25" t="str">
        <f>IF(Tabla1[[#This Row],[Margen]]&gt;=30%,"Alta",IF(Tabla1[[#This Row],[Margen]]&gt;=15%,"Media","Baja"))</f>
        <v>Media</v>
      </c>
      <c r="U12" s="25" t="str">
        <f>IF(Tabla1[[#This Row],[Valor FOB (Free On Board)]]&gt;=10000,"Grande",IF(Tabla1[[#This Row],[Valor FOB (Free On Board)]]&gt;=5000,"Mediana","Pequeña"))</f>
        <v>Mediana</v>
      </c>
      <c r="V1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W12" s="64"/>
      <c r="X12" s="64"/>
      <c r="Z12" s="8" t="s">
        <v>182</v>
      </c>
      <c r="AA12" s="18"/>
      <c r="AB12" s="18"/>
      <c r="AC12" s="18"/>
      <c r="AD12" s="18"/>
    </row>
    <row r="13" spans="2:31" x14ac:dyDescent="0.3">
      <c r="B13" s="14" t="s">
        <v>59</v>
      </c>
      <c r="C13" s="7">
        <v>46106</v>
      </c>
      <c r="D13" s="5" t="s">
        <v>23</v>
      </c>
      <c r="E13" s="5" t="s">
        <v>29</v>
      </c>
      <c r="F13" s="5" t="s">
        <v>25</v>
      </c>
      <c r="G13" s="5">
        <v>600</v>
      </c>
      <c r="H13" s="25">
        <v>12.5</v>
      </c>
      <c r="I13" s="5">
        <v>8.6999999999999993</v>
      </c>
      <c r="J13" s="15" t="s">
        <v>12</v>
      </c>
      <c r="K13" s="5" t="str">
        <f>VLOOKUP(E:E,'2. Productos'!$C$3:$F$8,2,FALSE)</f>
        <v>Aceite de ajonjolí</v>
      </c>
      <c r="L13" s="5" t="str">
        <f>VLOOKUP(E:E,'2. Productos'!$C$3:$E$8,3,FALSE)</f>
        <v>Aceites</v>
      </c>
      <c r="M13" s="5" t="str">
        <f>VLOOKUP(F:F,'3. Mercados'!$C$3:$F$9,2,FALSE)</f>
        <v>Europa</v>
      </c>
      <c r="N13" s="16">
        <f>VLOOKUP(F:F,'3. Mercados'!$C$3:$F$9,3,FALSE)</f>
        <v>0.1</v>
      </c>
      <c r="O13" s="5" t="str">
        <f>VLOOKUP(F:F,'3. Mercados'!$C$3:$F$9,4,FALSE)</f>
        <v>Potencial</v>
      </c>
      <c r="P13" s="25">
        <f>Tabla1[[#This Row],[Unidades]]*Tabla1[[#This Row],[Precio FOB]]</f>
        <v>7500</v>
      </c>
      <c r="Q13" s="35">
        <f>Tabla1[[#This Row],[Unidades]]*Tabla1[[#This Row],[Costo Unitario]]</f>
        <v>5220</v>
      </c>
      <c r="R13" s="25">
        <f>Tabla1[[#This Row],[Valor FOB (Free On Board)]]-Tabla1[[#This Row],[Costo total]]</f>
        <v>2280</v>
      </c>
      <c r="S13" s="42">
        <f>Tabla1[[#This Row],[Utilidad]]/Tabla1[[#This Row],[Valor FOB (Free On Board)]]</f>
        <v>0.30399999999999999</v>
      </c>
      <c r="T13" s="25" t="str">
        <f>IF(Tabla1[[#This Row],[Margen]]&gt;=30%,"Alta",IF(Tabla1[[#This Row],[Margen]]&gt;=15%,"Media","Baja"))</f>
        <v>Alta</v>
      </c>
      <c r="U13" s="25" t="str">
        <f>IF(Tabla1[[#This Row],[Valor FOB (Free On Board)]]&gt;=10000,"Grande",IF(Tabla1[[#This Row],[Valor FOB (Free On Board)]]&gt;=5000,"Mediana","Pequeña"))</f>
        <v>Mediana</v>
      </c>
      <c r="V1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W13" s="38"/>
      <c r="X13" s="38"/>
      <c r="Z13" s="39">
        <f>SUMIF(Tabla1[País Destino],"México",Tabla1[Valor FOB (Free On Board)])</f>
        <v>120313</v>
      </c>
    </row>
    <row r="14" spans="2:31" x14ac:dyDescent="0.3">
      <c r="B14" s="14" t="s">
        <v>60</v>
      </c>
      <c r="C14" s="7">
        <v>46114</v>
      </c>
      <c r="D14" s="5" t="s">
        <v>28</v>
      </c>
      <c r="E14" s="5" t="s">
        <v>24</v>
      </c>
      <c r="F14" s="5" t="s">
        <v>30</v>
      </c>
      <c r="G14" s="5">
        <v>1100</v>
      </c>
      <c r="H14" s="25">
        <v>7.1</v>
      </c>
      <c r="I14" s="5">
        <v>4.8</v>
      </c>
      <c r="J14" s="15" t="s">
        <v>17</v>
      </c>
      <c r="K14" s="5" t="str">
        <f>VLOOKUP(E:E,'2. Productos'!$C$3:$F$8,2,FALSE)</f>
        <v>Cacao en grano</v>
      </c>
      <c r="L14" s="5" t="str">
        <f>VLOOKUP(E:E,'2. Productos'!$C$3:$E$8,3,FALSE)</f>
        <v>Cacao</v>
      </c>
      <c r="M14" s="5" t="str">
        <f>VLOOKUP(F:F,'3. Mercados'!$C$3:$F$9,2,FALSE)</f>
        <v>Norteamérica</v>
      </c>
      <c r="N14" s="16">
        <f>VLOOKUP(F:F,'3. Mercados'!$C$3:$F$9,3,FALSE)</f>
        <v>0.08</v>
      </c>
      <c r="O14" s="5" t="str">
        <f>VLOOKUP(F:F,'3. Mercados'!$C$3:$F$9,4,FALSE)</f>
        <v>Potencial</v>
      </c>
      <c r="P14" s="25">
        <f>Tabla1[[#This Row],[Unidades]]*Tabla1[[#This Row],[Precio FOB]]</f>
        <v>7810</v>
      </c>
      <c r="Q14" s="35">
        <f>Tabla1[[#This Row],[Unidades]]*Tabla1[[#This Row],[Costo Unitario]]</f>
        <v>5280</v>
      </c>
      <c r="R14" s="25">
        <f>Tabla1[[#This Row],[Valor FOB (Free On Board)]]-Tabla1[[#This Row],[Costo total]]</f>
        <v>2530</v>
      </c>
      <c r="S14" s="42">
        <f>Tabla1[[#This Row],[Utilidad]]/Tabla1[[#This Row],[Valor FOB (Free On Board)]]</f>
        <v>0.323943661971831</v>
      </c>
      <c r="T14" s="25" t="str">
        <f>IF(Tabla1[[#This Row],[Margen]]&gt;=30%,"Alta",IF(Tabla1[[#This Row],[Margen]]&gt;=15%,"Media","Baja"))</f>
        <v>Alta</v>
      </c>
      <c r="U14" s="25" t="str">
        <f>IF(Tabla1[[#This Row],[Valor FOB (Free On Board)]]&gt;=10000,"Grande",IF(Tabla1[[#This Row],[Valor FOB (Free On Board)]]&gt;=5000,"Mediana","Pequeña"))</f>
        <v>Mediana</v>
      </c>
      <c r="V1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15" spans="2:31" x14ac:dyDescent="0.3">
      <c r="B15" s="14" t="s">
        <v>61</v>
      </c>
      <c r="C15" s="7">
        <v>46122</v>
      </c>
      <c r="D15" s="5" t="s">
        <v>14</v>
      </c>
      <c r="E15" s="5" t="s">
        <v>20</v>
      </c>
      <c r="F15" s="5" t="s">
        <v>16</v>
      </c>
      <c r="G15" s="5">
        <v>1300</v>
      </c>
      <c r="H15" s="25">
        <v>8.1999999999999993</v>
      </c>
      <c r="I15" s="5">
        <v>5.9</v>
      </c>
      <c r="J15" s="15" t="s">
        <v>17</v>
      </c>
      <c r="K15" s="5" t="str">
        <f>VLOOKUP(E:E,'2. Productos'!$C$3:$F$8,2,FALSE)</f>
        <v>Maní procesado</v>
      </c>
      <c r="L15" s="5" t="str">
        <f>VLOOKUP(E:E,'2. Productos'!$C$3:$E$8,3,FALSE)</f>
        <v>Semillas</v>
      </c>
      <c r="M15" s="5" t="str">
        <f>VLOOKUP(F:F,'3. Mercados'!$C$3:$F$9,2,FALSE)</f>
        <v>Norteamérica</v>
      </c>
      <c r="N15" s="16">
        <f>VLOOKUP(F:F,'3. Mercados'!$C$3:$F$9,3,FALSE)</f>
        <v>0.05</v>
      </c>
      <c r="O15" s="5" t="str">
        <f>VLOOKUP(F:F,'3. Mercados'!$C$3:$F$9,4,FALSE)</f>
        <v>Estratégico</v>
      </c>
      <c r="P15" s="25">
        <f>Tabla1[[#This Row],[Unidades]]*Tabla1[[#This Row],[Precio FOB]]</f>
        <v>10659.999999999998</v>
      </c>
      <c r="Q15" s="35">
        <f>Tabla1[[#This Row],[Unidades]]*Tabla1[[#This Row],[Costo Unitario]]</f>
        <v>7670.0000000000009</v>
      </c>
      <c r="R15" s="25">
        <f>Tabla1[[#This Row],[Valor FOB (Free On Board)]]-Tabla1[[#This Row],[Costo total]]</f>
        <v>2989.9999999999973</v>
      </c>
      <c r="S15" s="42">
        <f>Tabla1[[#This Row],[Utilidad]]/Tabla1[[#This Row],[Valor FOB (Free On Board)]]</f>
        <v>0.28048780487804859</v>
      </c>
      <c r="T15" s="25" t="str">
        <f>IF(Tabla1[[#This Row],[Margen]]&gt;=30%,"Alta",IF(Tabla1[[#This Row],[Margen]]&gt;=15%,"Media","Baja"))</f>
        <v>Media</v>
      </c>
      <c r="U15" s="25" t="str">
        <f>IF(Tabla1[[#This Row],[Valor FOB (Free On Board)]]&gt;=10000,"Grande",IF(Tabla1[[#This Row],[Valor FOB (Free On Board)]]&gt;=5000,"Mediana","Pequeña"))</f>
        <v>Grande</v>
      </c>
      <c r="V1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Z15" s="8" t="s">
        <v>183</v>
      </c>
      <c r="AA15" s="18"/>
      <c r="AB15" s="18"/>
      <c r="AC15" s="18"/>
      <c r="AD15" s="18"/>
    </row>
    <row r="16" spans="2:31" x14ac:dyDescent="0.3">
      <c r="B16" s="14" t="s">
        <v>62</v>
      </c>
      <c r="C16" s="7">
        <v>46130</v>
      </c>
      <c r="D16" s="5" t="s">
        <v>9</v>
      </c>
      <c r="E16" s="5" t="s">
        <v>15</v>
      </c>
      <c r="F16" s="5" t="s">
        <v>11</v>
      </c>
      <c r="G16" s="5">
        <v>700</v>
      </c>
      <c r="H16" s="25">
        <v>6.5</v>
      </c>
      <c r="I16" s="5">
        <v>4.0999999999999996</v>
      </c>
      <c r="J16" s="15" t="s">
        <v>26</v>
      </c>
      <c r="K16" s="5" t="str">
        <f>VLOOKUP(E:E,'2. Productos'!$C$3:$F$8,2,FALSE)</f>
        <v>Café especial</v>
      </c>
      <c r="L16" s="5" t="str">
        <f>VLOOKUP(E:E,'2. Productos'!$C$3:$E$8,3,FALSE)</f>
        <v>Café</v>
      </c>
      <c r="M16" s="5" t="str">
        <f>VLOOKUP(F:F,'3. Mercados'!$C$3:$F$9,2,FALSE)</f>
        <v>Centroamérica</v>
      </c>
      <c r="N16" s="16">
        <f>VLOOKUP(F:F,'3. Mercados'!$C$3:$F$9,3,FALSE)</f>
        <v>0.03</v>
      </c>
      <c r="O16" s="5" t="str">
        <f>VLOOKUP(F:F,'3. Mercados'!$C$3:$F$9,4,FALSE)</f>
        <v>Estratégico</v>
      </c>
      <c r="P16" s="25">
        <f>Tabla1[[#This Row],[Unidades]]*Tabla1[[#This Row],[Precio FOB]]</f>
        <v>4550</v>
      </c>
      <c r="Q16" s="35">
        <f>Tabla1[[#This Row],[Unidades]]*Tabla1[[#This Row],[Costo Unitario]]</f>
        <v>2869.9999999999995</v>
      </c>
      <c r="R16" s="25">
        <f>Tabla1[[#This Row],[Valor FOB (Free On Board)]]-Tabla1[[#This Row],[Costo total]]</f>
        <v>1680.0000000000005</v>
      </c>
      <c r="S16" s="42">
        <f>Tabla1[[#This Row],[Utilidad]]/Tabla1[[#This Row],[Valor FOB (Free On Board)]]</f>
        <v>0.36923076923076931</v>
      </c>
      <c r="T16" s="25" t="str">
        <f>IF(Tabla1[[#This Row],[Margen]]&gt;=30%,"Alta",IF(Tabla1[[#This Row],[Margen]]&gt;=15%,"Media","Baja"))</f>
        <v>Alta</v>
      </c>
      <c r="U16" s="25" t="str">
        <f>IF(Tabla1[[#This Row],[Valor FOB (Free On Board)]]&gt;=10000,"Grande",IF(Tabla1[[#This Row],[Valor FOB (Free On Board)]]&gt;=5000,"Mediana","Pequeña"))</f>
        <v>Pequeña</v>
      </c>
      <c r="V1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W16"/>
      <c r="Z16" s="39">
        <f ca="1">SUMIF(Tabla1[País Destino],"Guatemala",G5:G103)</f>
        <v>17130</v>
      </c>
    </row>
    <row r="17" spans="2:32" x14ac:dyDescent="0.3">
      <c r="B17" s="14" t="s">
        <v>63</v>
      </c>
      <c r="C17" s="7">
        <v>46139</v>
      </c>
      <c r="D17" s="5" t="s">
        <v>19</v>
      </c>
      <c r="E17" s="5" t="s">
        <v>29</v>
      </c>
      <c r="F17" s="5" t="s">
        <v>21</v>
      </c>
      <c r="G17" s="5">
        <v>450</v>
      </c>
      <c r="H17" s="25">
        <v>12.5</v>
      </c>
      <c r="I17" s="5">
        <v>8.6999999999999993</v>
      </c>
      <c r="J17" s="15" t="s">
        <v>12</v>
      </c>
      <c r="K17" s="5" t="str">
        <f>VLOOKUP(E:E,'2. Productos'!$C$3:$F$8,2,FALSE)</f>
        <v>Aceite de ajonjolí</v>
      </c>
      <c r="L17" s="5" t="str">
        <f>VLOOKUP(E:E,'2. Productos'!$C$3:$E$8,3,FALSE)</f>
        <v>Aceites</v>
      </c>
      <c r="M17" s="5" t="str">
        <f>VLOOKUP(F:F,'3. Mercados'!$C$3:$F$9,2,FALSE)</f>
        <v>Centroamérica</v>
      </c>
      <c r="N17" s="16">
        <f>VLOOKUP(F:F,'3. Mercados'!$C$3:$F$9,3,FALSE)</f>
        <v>0.02</v>
      </c>
      <c r="O17" s="5" t="str">
        <f>VLOOKUP(F:F,'3. Mercados'!$C$3:$F$9,4,FALSE)</f>
        <v>Estratégico</v>
      </c>
      <c r="P17" s="25">
        <f>Tabla1[[#This Row],[Unidades]]*Tabla1[[#This Row],[Precio FOB]]</f>
        <v>5625</v>
      </c>
      <c r="Q17" s="35">
        <f>Tabla1[[#This Row],[Unidades]]*Tabla1[[#This Row],[Costo Unitario]]</f>
        <v>3914.9999999999995</v>
      </c>
      <c r="R17" s="25">
        <f>Tabla1[[#This Row],[Valor FOB (Free On Board)]]-Tabla1[[#This Row],[Costo total]]</f>
        <v>1710.0000000000005</v>
      </c>
      <c r="S17" s="42">
        <f>Tabla1[[#This Row],[Utilidad]]/Tabla1[[#This Row],[Valor FOB (Free On Board)]]</f>
        <v>0.3040000000000001</v>
      </c>
      <c r="T17" s="25" t="str">
        <f>IF(Tabla1[[#This Row],[Margen]]&gt;=30%,"Alta",IF(Tabla1[[#This Row],[Margen]]&gt;=15%,"Media","Baja"))</f>
        <v>Alta</v>
      </c>
      <c r="U17" s="25" t="str">
        <f>IF(Tabla1[[#This Row],[Valor FOB (Free On Board)]]&gt;=10000,"Grande",IF(Tabla1[[#This Row],[Valor FOB (Free On Board)]]&gt;=5000,"Mediana","Pequeña"))</f>
        <v>Mediana</v>
      </c>
      <c r="V1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18" spans="2:32" x14ac:dyDescent="0.3">
      <c r="B18" s="14" t="s">
        <v>64</v>
      </c>
      <c r="C18" s="7">
        <v>46147</v>
      </c>
      <c r="D18" s="5" t="s">
        <v>23</v>
      </c>
      <c r="E18" s="5" t="s">
        <v>10</v>
      </c>
      <c r="F18" s="5" t="s">
        <v>25</v>
      </c>
      <c r="G18" s="5">
        <v>1000</v>
      </c>
      <c r="H18" s="25">
        <v>4.8</v>
      </c>
      <c r="I18" s="5">
        <v>3.2</v>
      </c>
      <c r="J18" s="15" t="s">
        <v>17</v>
      </c>
      <c r="K18" s="5" t="str">
        <f>VLOOKUP(E:E,'2. Productos'!$C$3:$F$8,2,FALSE)</f>
        <v>Miel natural</v>
      </c>
      <c r="L18" s="5" t="str">
        <f>VLOOKUP(E:E,'2. Productos'!$C$3:$E$8,3,FALSE)</f>
        <v>Apícola</v>
      </c>
      <c r="M18" s="5" t="str">
        <f>VLOOKUP(F:F,'3. Mercados'!$C$3:$F$9,2,FALSE)</f>
        <v>Europa</v>
      </c>
      <c r="N18" s="16">
        <f>VLOOKUP(F:F,'3. Mercados'!$C$3:$F$9,3,FALSE)</f>
        <v>0.1</v>
      </c>
      <c r="O18" s="5" t="str">
        <f>VLOOKUP(F:F,'3. Mercados'!$C$3:$F$9,4,FALSE)</f>
        <v>Potencial</v>
      </c>
      <c r="P18" s="25">
        <f>Tabla1[[#This Row],[Unidades]]*Tabla1[[#This Row],[Precio FOB]]</f>
        <v>4800</v>
      </c>
      <c r="Q18" s="35">
        <f>Tabla1[[#This Row],[Unidades]]*Tabla1[[#This Row],[Costo Unitario]]</f>
        <v>3200</v>
      </c>
      <c r="R18" s="25">
        <f>Tabla1[[#This Row],[Valor FOB (Free On Board)]]-Tabla1[[#This Row],[Costo total]]</f>
        <v>1600</v>
      </c>
      <c r="S18" s="42">
        <f>Tabla1[[#This Row],[Utilidad]]/Tabla1[[#This Row],[Valor FOB (Free On Board)]]</f>
        <v>0.33333333333333331</v>
      </c>
      <c r="T18" s="25" t="str">
        <f>IF(Tabla1[[#This Row],[Margen]]&gt;=30%,"Alta",IF(Tabla1[[#This Row],[Margen]]&gt;=15%,"Media","Baja"))</f>
        <v>Alta</v>
      </c>
      <c r="U18" s="25" t="str">
        <f>IF(Tabla1[[#This Row],[Valor FOB (Free On Board)]]&gt;=10000,"Grande",IF(Tabla1[[#This Row],[Valor FOB (Free On Board)]]&gt;=5000,"Mediana","Pequeña"))</f>
        <v>Pequeña</v>
      </c>
      <c r="V1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Z18" s="8" t="s">
        <v>187</v>
      </c>
      <c r="AA18" s="18"/>
      <c r="AB18" s="18"/>
      <c r="AC18" s="18"/>
      <c r="AD18" s="18"/>
      <c r="AE18" s="18"/>
    </row>
    <row r="19" spans="2:32" x14ac:dyDescent="0.3">
      <c r="B19" s="14" t="s">
        <v>65</v>
      </c>
      <c r="C19" s="7">
        <v>46156</v>
      </c>
      <c r="D19" s="5" t="s">
        <v>28</v>
      </c>
      <c r="E19" s="5" t="s">
        <v>15</v>
      </c>
      <c r="F19" s="5" t="s">
        <v>30</v>
      </c>
      <c r="G19" s="5">
        <v>850</v>
      </c>
      <c r="H19" s="25">
        <v>6.5</v>
      </c>
      <c r="I19" s="5">
        <v>4.0999999999999996</v>
      </c>
      <c r="J19" s="15" t="s">
        <v>12</v>
      </c>
      <c r="K19" s="5" t="str">
        <f>VLOOKUP(E:E,'2. Productos'!$C$3:$F$8,2,FALSE)</f>
        <v>Café especial</v>
      </c>
      <c r="L19" s="5" t="str">
        <f>VLOOKUP(E:E,'2. Productos'!$C$3:$E$8,3,FALSE)</f>
        <v>Café</v>
      </c>
      <c r="M19" s="5" t="str">
        <f>VLOOKUP(F:F,'3. Mercados'!$C$3:$F$9,2,FALSE)</f>
        <v>Norteamérica</v>
      </c>
      <c r="N19" s="16">
        <f>VLOOKUP(F:F,'3. Mercados'!$C$3:$F$9,3,FALSE)</f>
        <v>0.08</v>
      </c>
      <c r="O19" s="5" t="str">
        <f>VLOOKUP(F:F,'3. Mercados'!$C$3:$F$9,4,FALSE)</f>
        <v>Potencial</v>
      </c>
      <c r="P19" s="25">
        <f>Tabla1[[#This Row],[Unidades]]*Tabla1[[#This Row],[Precio FOB]]</f>
        <v>5525</v>
      </c>
      <c r="Q19" s="35">
        <f>Tabla1[[#This Row],[Unidades]]*Tabla1[[#This Row],[Costo Unitario]]</f>
        <v>3484.9999999999995</v>
      </c>
      <c r="R19" s="25">
        <f>Tabla1[[#This Row],[Valor FOB (Free On Board)]]-Tabla1[[#This Row],[Costo total]]</f>
        <v>2040.0000000000005</v>
      </c>
      <c r="S19" s="42">
        <f>Tabla1[[#This Row],[Utilidad]]/Tabla1[[#This Row],[Valor FOB (Free On Board)]]</f>
        <v>0.36923076923076931</v>
      </c>
      <c r="T19" s="25" t="str">
        <f>IF(Tabla1[[#This Row],[Margen]]&gt;=30%,"Alta",IF(Tabla1[[#This Row],[Margen]]&gt;=15%,"Media","Baja"))</f>
        <v>Alta</v>
      </c>
      <c r="U19" s="25" t="str">
        <f>IF(Tabla1[[#This Row],[Valor FOB (Free On Board)]]&gt;=10000,"Grande",IF(Tabla1[[#This Row],[Valor FOB (Free On Board)]]&gt;=5000,"Mediana","Pequeña"))</f>
        <v>Mediana</v>
      </c>
      <c r="V1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  <c r="W19"/>
      <c r="Z19" s="43">
        <f>SUMIFS(Tabla1[Valor FOB (Free On Board)],Tabla1[producto],"Café especial",Tabla1[País Destino],"EE.UU.")</f>
        <v>52390</v>
      </c>
      <c r="AA19"/>
    </row>
    <row r="20" spans="2:32" x14ac:dyDescent="0.3">
      <c r="B20" s="14" t="s">
        <v>66</v>
      </c>
      <c r="C20" s="7">
        <v>46164</v>
      </c>
      <c r="D20" s="5" t="s">
        <v>14</v>
      </c>
      <c r="E20" s="5" t="s">
        <v>24</v>
      </c>
      <c r="F20" s="5" t="s">
        <v>16</v>
      </c>
      <c r="G20" s="5">
        <v>1250</v>
      </c>
      <c r="H20" s="25">
        <v>7.1</v>
      </c>
      <c r="I20" s="5">
        <v>4.8</v>
      </c>
      <c r="J20" s="15" t="s">
        <v>17</v>
      </c>
      <c r="K20" s="5" t="str">
        <f>VLOOKUP(E:E,'2. Productos'!$C$3:$F$8,2,FALSE)</f>
        <v>Cacao en grano</v>
      </c>
      <c r="L20" s="5" t="str">
        <f>VLOOKUP(E:E,'2. Productos'!$C$3:$E$8,3,FALSE)</f>
        <v>Cacao</v>
      </c>
      <c r="M20" s="5" t="str">
        <f>VLOOKUP(F:F,'3. Mercados'!$C$3:$F$9,2,FALSE)</f>
        <v>Norteamérica</v>
      </c>
      <c r="N20" s="16">
        <f>VLOOKUP(F:F,'3. Mercados'!$C$3:$F$9,3,FALSE)</f>
        <v>0.05</v>
      </c>
      <c r="O20" s="5" t="str">
        <f>VLOOKUP(F:F,'3. Mercados'!$C$3:$F$9,4,FALSE)</f>
        <v>Estratégico</v>
      </c>
      <c r="P20" s="25">
        <f>Tabla1[[#This Row],[Unidades]]*Tabla1[[#This Row],[Precio FOB]]</f>
        <v>8875</v>
      </c>
      <c r="Q20" s="35">
        <f>Tabla1[[#This Row],[Unidades]]*Tabla1[[#This Row],[Costo Unitario]]</f>
        <v>6000</v>
      </c>
      <c r="R20" s="25">
        <f>Tabla1[[#This Row],[Valor FOB (Free On Board)]]-Tabla1[[#This Row],[Costo total]]</f>
        <v>2875</v>
      </c>
      <c r="S20" s="42">
        <f>Tabla1[[#This Row],[Utilidad]]/Tabla1[[#This Row],[Valor FOB (Free On Board)]]</f>
        <v>0.323943661971831</v>
      </c>
      <c r="T20" s="25" t="str">
        <f>IF(Tabla1[[#This Row],[Margen]]&gt;=30%,"Alta",IF(Tabla1[[#This Row],[Margen]]&gt;=15%,"Media","Baja"))</f>
        <v>Alta</v>
      </c>
      <c r="U20" s="25" t="str">
        <f>IF(Tabla1[[#This Row],[Valor FOB (Free On Board)]]&gt;=10000,"Grande",IF(Tabla1[[#This Row],[Valor FOB (Free On Board)]]&gt;=5000,"Mediana","Pequeña"))</f>
        <v>Mediana</v>
      </c>
      <c r="V2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W20" s="39"/>
      <c r="AA20" s="39"/>
    </row>
    <row r="21" spans="2:32" x14ac:dyDescent="0.3">
      <c r="B21" s="14" t="s">
        <v>67</v>
      </c>
      <c r="C21" s="7">
        <v>46172</v>
      </c>
      <c r="D21" s="5" t="s">
        <v>9</v>
      </c>
      <c r="E21" s="5" t="s">
        <v>29</v>
      </c>
      <c r="F21" s="5" t="s">
        <v>11</v>
      </c>
      <c r="G21" s="5">
        <v>550</v>
      </c>
      <c r="H21" s="25">
        <v>12.5</v>
      </c>
      <c r="I21" s="5">
        <v>8.6999999999999993</v>
      </c>
      <c r="J21" s="15" t="s">
        <v>12</v>
      </c>
      <c r="K21" s="5" t="str">
        <f>VLOOKUP(E:E,'2. Productos'!$C$3:$F$8,2,FALSE)</f>
        <v>Aceite de ajonjolí</v>
      </c>
      <c r="L21" s="5" t="str">
        <f>VLOOKUP(E:E,'2. Productos'!$C$3:$E$8,3,FALSE)</f>
        <v>Aceites</v>
      </c>
      <c r="M21" s="5" t="str">
        <f>VLOOKUP(F:F,'3. Mercados'!$C$3:$F$9,2,FALSE)</f>
        <v>Centroamérica</v>
      </c>
      <c r="N21" s="16">
        <f>VLOOKUP(F:F,'3. Mercados'!$C$3:$F$9,3,FALSE)</f>
        <v>0.03</v>
      </c>
      <c r="O21" s="5" t="str">
        <f>VLOOKUP(F:F,'3. Mercados'!$C$3:$F$9,4,FALSE)</f>
        <v>Estratégico</v>
      </c>
      <c r="P21" s="25">
        <f>Tabla1[[#This Row],[Unidades]]*Tabla1[[#This Row],[Precio FOB]]</f>
        <v>6875</v>
      </c>
      <c r="Q21" s="35">
        <f>Tabla1[[#This Row],[Unidades]]*Tabla1[[#This Row],[Costo Unitario]]</f>
        <v>4785</v>
      </c>
      <c r="R21" s="25">
        <f>Tabla1[[#This Row],[Valor FOB (Free On Board)]]-Tabla1[[#This Row],[Costo total]]</f>
        <v>2090</v>
      </c>
      <c r="S21" s="42">
        <f>Tabla1[[#This Row],[Utilidad]]/Tabla1[[#This Row],[Valor FOB (Free On Board)]]</f>
        <v>0.30399999999999999</v>
      </c>
      <c r="T21" s="25" t="str">
        <f>IF(Tabla1[[#This Row],[Margen]]&gt;=30%,"Alta",IF(Tabla1[[#This Row],[Margen]]&gt;=15%,"Media","Baja"))</f>
        <v>Alta</v>
      </c>
      <c r="U21" s="25" t="str">
        <f>IF(Tabla1[[#This Row],[Valor FOB (Free On Board)]]&gt;=10000,"Grande",IF(Tabla1[[#This Row],[Valor FOB (Free On Board)]]&gt;=5000,"Mediana","Pequeña"))</f>
        <v>Mediana</v>
      </c>
      <c r="V2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Z21" s="8" t="s">
        <v>188</v>
      </c>
      <c r="AA21" s="18"/>
      <c r="AB21" s="18"/>
      <c r="AC21" s="18"/>
      <c r="AD21" s="18"/>
      <c r="AE21" s="18"/>
      <c r="AF21" s="18"/>
    </row>
    <row r="22" spans="2:32" x14ac:dyDescent="0.3">
      <c r="B22" s="14" t="s">
        <v>68</v>
      </c>
      <c r="C22" s="7">
        <v>46180</v>
      </c>
      <c r="D22" s="5" t="s">
        <v>19</v>
      </c>
      <c r="E22" s="5" t="s">
        <v>10</v>
      </c>
      <c r="F22" s="5" t="s">
        <v>21</v>
      </c>
      <c r="G22" s="5">
        <v>800</v>
      </c>
      <c r="H22" s="25">
        <v>4.8</v>
      </c>
      <c r="I22" s="5">
        <v>3.2</v>
      </c>
      <c r="J22" s="15" t="s">
        <v>17</v>
      </c>
      <c r="K22" s="5" t="str">
        <f>VLOOKUP(E:E,'2. Productos'!$C$3:$F$8,2,FALSE)</f>
        <v>Miel natural</v>
      </c>
      <c r="L22" s="5" t="str">
        <f>VLOOKUP(E:E,'2. Productos'!$C$3:$E$8,3,FALSE)</f>
        <v>Apícola</v>
      </c>
      <c r="M22" s="5" t="str">
        <f>VLOOKUP(F:F,'3. Mercados'!$C$3:$F$9,2,FALSE)</f>
        <v>Centroamérica</v>
      </c>
      <c r="N22" s="16">
        <f>VLOOKUP(F:F,'3. Mercados'!$C$3:$F$9,3,FALSE)</f>
        <v>0.02</v>
      </c>
      <c r="O22" s="5" t="str">
        <f>VLOOKUP(F:F,'3. Mercados'!$C$3:$F$9,4,FALSE)</f>
        <v>Estratégico</v>
      </c>
      <c r="P22" s="25">
        <f>Tabla1[[#This Row],[Unidades]]*Tabla1[[#This Row],[Precio FOB]]</f>
        <v>3840</v>
      </c>
      <c r="Q22" s="35">
        <f>Tabla1[[#This Row],[Unidades]]*Tabla1[[#This Row],[Costo Unitario]]</f>
        <v>2560</v>
      </c>
      <c r="R22" s="25">
        <f>Tabla1[[#This Row],[Valor FOB (Free On Board)]]-Tabla1[[#This Row],[Costo total]]</f>
        <v>1280</v>
      </c>
      <c r="S22" s="42">
        <f>Tabla1[[#This Row],[Utilidad]]/Tabla1[[#This Row],[Valor FOB (Free On Board)]]</f>
        <v>0.33333333333333331</v>
      </c>
      <c r="T22" s="25" t="str">
        <f>IF(Tabla1[[#This Row],[Margen]]&gt;=30%,"Alta",IF(Tabla1[[#This Row],[Margen]]&gt;=15%,"Media","Baja"))</f>
        <v>Alta</v>
      </c>
      <c r="U22" s="25" t="str">
        <f>IF(Tabla1[[#This Row],[Valor FOB (Free On Board)]]&gt;=10000,"Grande",IF(Tabla1[[#This Row],[Valor FOB (Free On Board)]]&gt;=5000,"Mediana","Pequeña"))</f>
        <v>Pequeña</v>
      </c>
      <c r="V2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  <c r="W22"/>
      <c r="Z22" s="39">
        <f>SUMIFS(Tabla1[Utilidad],Tabla1[Región],"Centroamérica",Tabla1[Estado],"Entregado")</f>
        <v>33348</v>
      </c>
      <c r="AA22"/>
    </row>
    <row r="23" spans="2:32" x14ac:dyDescent="0.3">
      <c r="B23" s="14" t="s">
        <v>69</v>
      </c>
      <c r="C23" s="7">
        <v>46189</v>
      </c>
      <c r="D23" s="5" t="s">
        <v>23</v>
      </c>
      <c r="E23" s="5" t="s">
        <v>20</v>
      </c>
      <c r="F23" s="5" t="s">
        <v>25</v>
      </c>
      <c r="G23" s="5">
        <v>900</v>
      </c>
      <c r="H23" s="25">
        <v>8.1999999999999993</v>
      </c>
      <c r="I23" s="5">
        <v>5.9</v>
      </c>
      <c r="J23" s="15" t="s">
        <v>26</v>
      </c>
      <c r="K23" s="5" t="str">
        <f>VLOOKUP(E:E,'2. Productos'!$C$3:$F$8,2,FALSE)</f>
        <v>Maní procesado</v>
      </c>
      <c r="L23" s="5" t="str">
        <f>VLOOKUP(E:E,'2. Productos'!$C$3:$E$8,3,FALSE)</f>
        <v>Semillas</v>
      </c>
      <c r="M23" s="5" t="str">
        <f>VLOOKUP(F:F,'3. Mercados'!$C$3:$F$9,2,FALSE)</f>
        <v>Europa</v>
      </c>
      <c r="N23" s="16">
        <f>VLOOKUP(F:F,'3. Mercados'!$C$3:$F$9,3,FALSE)</f>
        <v>0.1</v>
      </c>
      <c r="O23" s="5" t="str">
        <f>VLOOKUP(F:F,'3. Mercados'!$C$3:$F$9,4,FALSE)</f>
        <v>Potencial</v>
      </c>
      <c r="P23" s="25">
        <f>Tabla1[[#This Row],[Unidades]]*Tabla1[[#This Row],[Precio FOB]]</f>
        <v>7379.9999999999991</v>
      </c>
      <c r="Q23" s="35">
        <f>Tabla1[[#This Row],[Unidades]]*Tabla1[[#This Row],[Costo Unitario]]</f>
        <v>5310</v>
      </c>
      <c r="R23" s="25">
        <f>Tabla1[[#This Row],[Valor FOB (Free On Board)]]-Tabla1[[#This Row],[Costo total]]</f>
        <v>2069.9999999999991</v>
      </c>
      <c r="S23" s="42">
        <f>Tabla1[[#This Row],[Utilidad]]/Tabla1[[#This Row],[Valor FOB (Free On Board)]]</f>
        <v>0.2804878048780487</v>
      </c>
      <c r="T23" s="25" t="str">
        <f>IF(Tabla1[[#This Row],[Margen]]&gt;=30%,"Alta",IF(Tabla1[[#This Row],[Margen]]&gt;=15%,"Media","Baja"))</f>
        <v>Media</v>
      </c>
      <c r="U23" s="25" t="str">
        <f>IF(Tabla1[[#This Row],[Valor FOB (Free On Board)]]&gt;=10000,"Grande",IF(Tabla1[[#This Row],[Valor FOB (Free On Board)]]&gt;=5000,"Mediana","Pequeña"))</f>
        <v>Mediana</v>
      </c>
      <c r="V2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Baja</v>
      </c>
    </row>
    <row r="24" spans="2:32" x14ac:dyDescent="0.3">
      <c r="B24" s="14" t="s">
        <v>70</v>
      </c>
      <c r="C24" s="7">
        <v>46198</v>
      </c>
      <c r="D24" s="5" t="s">
        <v>28</v>
      </c>
      <c r="E24" s="5" t="s">
        <v>29</v>
      </c>
      <c r="F24" s="5" t="s">
        <v>30</v>
      </c>
      <c r="G24" s="5">
        <v>650</v>
      </c>
      <c r="H24" s="25">
        <v>12.5</v>
      </c>
      <c r="I24" s="5">
        <v>8.6999999999999993</v>
      </c>
      <c r="J24" s="15" t="s">
        <v>17</v>
      </c>
      <c r="K24" s="5" t="str">
        <f>VLOOKUP(E:E,'2. Productos'!$C$3:$F$8,2,FALSE)</f>
        <v>Aceite de ajonjolí</v>
      </c>
      <c r="L24" s="5" t="str">
        <f>VLOOKUP(E:E,'2. Productos'!$C$3:$E$8,3,FALSE)</f>
        <v>Aceites</v>
      </c>
      <c r="M24" s="5" t="str">
        <f>VLOOKUP(F:F,'3. Mercados'!$C$3:$F$9,2,FALSE)</f>
        <v>Norteamérica</v>
      </c>
      <c r="N24" s="16">
        <f>VLOOKUP(F:F,'3. Mercados'!$C$3:$F$9,3,FALSE)</f>
        <v>0.08</v>
      </c>
      <c r="O24" s="5" t="str">
        <f>VLOOKUP(F:F,'3. Mercados'!$C$3:$F$9,4,FALSE)</f>
        <v>Potencial</v>
      </c>
      <c r="P24" s="25">
        <f>Tabla1[[#This Row],[Unidades]]*Tabla1[[#This Row],[Precio FOB]]</f>
        <v>8125</v>
      </c>
      <c r="Q24" s="35">
        <f>Tabla1[[#This Row],[Unidades]]*Tabla1[[#This Row],[Costo Unitario]]</f>
        <v>5654.9999999999991</v>
      </c>
      <c r="R24" s="25">
        <f>Tabla1[[#This Row],[Valor FOB (Free On Board)]]-Tabla1[[#This Row],[Costo total]]</f>
        <v>2470.0000000000009</v>
      </c>
      <c r="S24" s="16">
        <f>Tabla1[[#This Row],[Utilidad]]/Tabla1[[#This Row],[Valor FOB (Free On Board)]]</f>
        <v>0.3040000000000001</v>
      </c>
      <c r="T24" s="25" t="str">
        <f>IF(Tabla1[[#This Row],[Margen]]&gt;=30%,"Alta",IF(Tabla1[[#This Row],[Margen]]&gt;=15%,"Media","Baja"))</f>
        <v>Alta</v>
      </c>
      <c r="U24" s="25" t="str">
        <f>IF(Tabla1[[#This Row],[Valor FOB (Free On Board)]]&gt;=10000,"Grande",IF(Tabla1[[#This Row],[Valor FOB (Free On Board)]]&gt;=5000,"Mediana","Pequeña"))</f>
        <v>Mediana</v>
      </c>
      <c r="V2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25" spans="2:32" x14ac:dyDescent="0.3">
      <c r="B25" s="14" t="s">
        <v>71</v>
      </c>
      <c r="C25" s="7">
        <v>46206</v>
      </c>
      <c r="D25" s="5" t="s">
        <v>14</v>
      </c>
      <c r="E25" s="5" t="s">
        <v>15</v>
      </c>
      <c r="F25" s="5" t="s">
        <v>16</v>
      </c>
      <c r="G25" s="5">
        <v>1500</v>
      </c>
      <c r="H25" s="25">
        <v>6.5</v>
      </c>
      <c r="I25" s="5">
        <v>4.0999999999999996</v>
      </c>
      <c r="J25" s="15" t="s">
        <v>12</v>
      </c>
      <c r="K25" s="5" t="str">
        <f>VLOOKUP(E:E,'2. Productos'!$C$3:$F$8,2,FALSE)</f>
        <v>Café especial</v>
      </c>
      <c r="L25" s="5" t="str">
        <f>VLOOKUP(E:E,'2. Productos'!$C$3:$E$8,3,FALSE)</f>
        <v>Café</v>
      </c>
      <c r="M25" s="5" t="str">
        <f>VLOOKUP(F:F,'3. Mercados'!$C$3:$F$9,2,FALSE)</f>
        <v>Norteamérica</v>
      </c>
      <c r="N25" s="16">
        <f>VLOOKUP(F:F,'3. Mercados'!$C$3:$F$9,3,FALSE)</f>
        <v>0.05</v>
      </c>
      <c r="O25" s="5" t="str">
        <f>VLOOKUP(F:F,'3. Mercados'!$C$3:$F$9,4,FALSE)</f>
        <v>Estratégico</v>
      </c>
      <c r="P25" s="25">
        <f>Tabla1[[#This Row],[Unidades]]*Tabla1[[#This Row],[Precio FOB]]</f>
        <v>9750</v>
      </c>
      <c r="Q25" s="35">
        <f>Tabla1[[#This Row],[Unidades]]*Tabla1[[#This Row],[Costo Unitario]]</f>
        <v>6149.9999999999991</v>
      </c>
      <c r="R25" s="25">
        <f>Tabla1[[#This Row],[Valor FOB (Free On Board)]]-Tabla1[[#This Row],[Costo total]]</f>
        <v>3600.0000000000009</v>
      </c>
      <c r="S25" s="16">
        <f>Tabla1[[#This Row],[Utilidad]]/Tabla1[[#This Row],[Valor FOB (Free On Board)]]</f>
        <v>0.36923076923076931</v>
      </c>
      <c r="T25" s="25" t="str">
        <f>IF(Tabla1[[#This Row],[Margen]]&gt;=30%,"Alta",IF(Tabla1[[#This Row],[Margen]]&gt;=15%,"Media","Baja"))</f>
        <v>Alta</v>
      </c>
      <c r="U25" s="25" t="str">
        <f>IF(Tabla1[[#This Row],[Valor FOB (Free On Board)]]&gt;=10000,"Grande",IF(Tabla1[[#This Row],[Valor FOB (Free On Board)]]&gt;=5000,"Mediana","Pequeña"))</f>
        <v>Mediana</v>
      </c>
      <c r="V2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26" spans="2:32" x14ac:dyDescent="0.3">
      <c r="B26" s="14" t="s">
        <v>72</v>
      </c>
      <c r="C26" s="7">
        <v>46214</v>
      </c>
      <c r="D26" s="5" t="s">
        <v>9</v>
      </c>
      <c r="E26" s="5" t="s">
        <v>24</v>
      </c>
      <c r="F26" s="5" t="s">
        <v>11</v>
      </c>
      <c r="G26" s="5">
        <v>1000</v>
      </c>
      <c r="H26" s="25">
        <v>7.1</v>
      </c>
      <c r="I26" s="5">
        <v>4.8</v>
      </c>
      <c r="J26" s="15" t="s">
        <v>17</v>
      </c>
      <c r="K26" s="5" t="str">
        <f>VLOOKUP(E:E,'2. Productos'!$C$3:$F$8,2,FALSE)</f>
        <v>Cacao en grano</v>
      </c>
      <c r="L26" s="5" t="str">
        <f>VLOOKUP(E:E,'2. Productos'!$C$3:$E$8,3,FALSE)</f>
        <v>Cacao</v>
      </c>
      <c r="M26" s="5" t="str">
        <f>VLOOKUP(F:F,'3. Mercados'!$C$3:$F$9,2,FALSE)</f>
        <v>Centroamérica</v>
      </c>
      <c r="N26" s="16">
        <f>VLOOKUP(F:F,'3. Mercados'!$C$3:$F$9,3,FALSE)</f>
        <v>0.03</v>
      </c>
      <c r="O26" s="5" t="str">
        <f>VLOOKUP(F:F,'3. Mercados'!$C$3:$F$9,4,FALSE)</f>
        <v>Estratégico</v>
      </c>
      <c r="P26" s="25">
        <f>Tabla1[[#This Row],[Unidades]]*Tabla1[[#This Row],[Precio FOB]]</f>
        <v>7100</v>
      </c>
      <c r="Q26" s="35">
        <f>Tabla1[[#This Row],[Unidades]]*Tabla1[[#This Row],[Costo Unitario]]</f>
        <v>4800</v>
      </c>
      <c r="R26" s="25">
        <f>Tabla1[[#This Row],[Valor FOB (Free On Board)]]-Tabla1[[#This Row],[Costo total]]</f>
        <v>2300</v>
      </c>
      <c r="S26" s="16">
        <f>Tabla1[[#This Row],[Utilidad]]/Tabla1[[#This Row],[Valor FOB (Free On Board)]]</f>
        <v>0.323943661971831</v>
      </c>
      <c r="T26" s="25" t="str">
        <f>IF(Tabla1[[#This Row],[Margen]]&gt;=30%,"Alta",IF(Tabla1[[#This Row],[Margen]]&gt;=15%,"Media","Baja"))</f>
        <v>Alta</v>
      </c>
      <c r="U26" s="25" t="str">
        <f>IF(Tabla1[[#This Row],[Valor FOB (Free On Board)]]&gt;=10000,"Grande",IF(Tabla1[[#This Row],[Valor FOB (Free On Board)]]&gt;=5000,"Mediana","Pequeña"))</f>
        <v>Mediana</v>
      </c>
      <c r="V2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27" spans="2:32" x14ac:dyDescent="0.3">
      <c r="B27" s="14" t="s">
        <v>73</v>
      </c>
      <c r="C27" s="7">
        <v>46222</v>
      </c>
      <c r="D27" s="5" t="s">
        <v>19</v>
      </c>
      <c r="E27" s="5" t="s">
        <v>20</v>
      </c>
      <c r="F27" s="5" t="s">
        <v>21</v>
      </c>
      <c r="G27" s="5">
        <v>720</v>
      </c>
      <c r="H27" s="25">
        <v>8.1999999999999993</v>
      </c>
      <c r="I27" s="5">
        <v>5.9</v>
      </c>
      <c r="J27" s="15" t="s">
        <v>12</v>
      </c>
      <c r="K27" s="5" t="str">
        <f>VLOOKUP(E:E,'2. Productos'!$C$3:$F$8,2,FALSE)</f>
        <v>Maní procesado</v>
      </c>
      <c r="L27" s="5" t="str">
        <f>VLOOKUP(E:E,'2. Productos'!$C$3:$E$8,3,FALSE)</f>
        <v>Semillas</v>
      </c>
      <c r="M27" s="5" t="str">
        <f>VLOOKUP(F:F,'3. Mercados'!$C$3:$F$9,2,FALSE)</f>
        <v>Centroamérica</v>
      </c>
      <c r="N27" s="16">
        <f>VLOOKUP(F:F,'3. Mercados'!$C$3:$F$9,3,FALSE)</f>
        <v>0.02</v>
      </c>
      <c r="O27" s="5" t="str">
        <f>VLOOKUP(F:F,'3. Mercados'!$C$3:$F$9,4,FALSE)</f>
        <v>Estratégico</v>
      </c>
      <c r="P27" s="25">
        <f>Tabla1[[#This Row],[Unidades]]*Tabla1[[#This Row],[Precio FOB]]</f>
        <v>5903.9999999999991</v>
      </c>
      <c r="Q27" s="35">
        <f>Tabla1[[#This Row],[Unidades]]*Tabla1[[#This Row],[Costo Unitario]]</f>
        <v>4248</v>
      </c>
      <c r="R27" s="25">
        <f>Tabla1[[#This Row],[Valor FOB (Free On Board)]]-Tabla1[[#This Row],[Costo total]]</f>
        <v>1655.9999999999991</v>
      </c>
      <c r="S27" s="16">
        <f>Tabla1[[#This Row],[Utilidad]]/Tabla1[[#This Row],[Valor FOB (Free On Board)]]</f>
        <v>0.2804878048780487</v>
      </c>
      <c r="T27" s="25" t="str">
        <f>IF(Tabla1[[#This Row],[Margen]]&gt;=30%,"Alta",IF(Tabla1[[#This Row],[Margen]]&gt;=15%,"Media","Baja"))</f>
        <v>Media</v>
      </c>
      <c r="U27" s="25" t="str">
        <f>IF(Tabla1[[#This Row],[Valor FOB (Free On Board)]]&gt;=10000,"Grande",IF(Tabla1[[#This Row],[Valor FOB (Free On Board)]]&gt;=5000,"Mediana","Pequeña"))</f>
        <v>Mediana</v>
      </c>
      <c r="V2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28" spans="2:32" x14ac:dyDescent="0.3">
      <c r="B28" s="14" t="s">
        <v>74</v>
      </c>
      <c r="C28" s="7">
        <v>46231</v>
      </c>
      <c r="D28" s="5" t="s">
        <v>23</v>
      </c>
      <c r="E28" s="5" t="s">
        <v>10</v>
      </c>
      <c r="F28" s="5" t="s">
        <v>25</v>
      </c>
      <c r="G28" s="5">
        <v>1150</v>
      </c>
      <c r="H28" s="25">
        <v>4.8</v>
      </c>
      <c r="I28" s="5">
        <v>3.2</v>
      </c>
      <c r="J28" s="15" t="s">
        <v>17</v>
      </c>
      <c r="K28" s="5" t="str">
        <f>VLOOKUP(E:E,'2. Productos'!$C$3:$F$8,2,FALSE)</f>
        <v>Miel natural</v>
      </c>
      <c r="L28" s="5" t="str">
        <f>VLOOKUP(E:E,'2. Productos'!$C$3:$E$8,3,FALSE)</f>
        <v>Apícola</v>
      </c>
      <c r="M28" s="5" t="str">
        <f>VLOOKUP(F:F,'3. Mercados'!$C$3:$F$9,2,FALSE)</f>
        <v>Europa</v>
      </c>
      <c r="N28" s="16">
        <f>VLOOKUP(F:F,'3. Mercados'!$C$3:$F$9,3,FALSE)</f>
        <v>0.1</v>
      </c>
      <c r="O28" s="5" t="str">
        <f>VLOOKUP(F:F,'3. Mercados'!$C$3:$F$9,4,FALSE)</f>
        <v>Potencial</v>
      </c>
      <c r="P28" s="25">
        <f>Tabla1[[#This Row],[Unidades]]*Tabla1[[#This Row],[Precio FOB]]</f>
        <v>5520</v>
      </c>
      <c r="Q28" s="35">
        <f>Tabla1[[#This Row],[Unidades]]*Tabla1[[#This Row],[Costo Unitario]]</f>
        <v>3680</v>
      </c>
      <c r="R28" s="25">
        <f>Tabla1[[#This Row],[Valor FOB (Free On Board)]]-Tabla1[[#This Row],[Costo total]]</f>
        <v>1840</v>
      </c>
      <c r="S28" s="16">
        <f>Tabla1[[#This Row],[Utilidad]]/Tabla1[[#This Row],[Valor FOB (Free On Board)]]</f>
        <v>0.33333333333333331</v>
      </c>
      <c r="T28" s="25" t="str">
        <f>IF(Tabla1[[#This Row],[Margen]]&gt;=30%,"Alta",IF(Tabla1[[#This Row],[Margen]]&gt;=15%,"Media","Baja"))</f>
        <v>Alta</v>
      </c>
      <c r="U28" s="25" t="str">
        <f>IF(Tabla1[[#This Row],[Valor FOB (Free On Board)]]&gt;=10000,"Grande",IF(Tabla1[[#This Row],[Valor FOB (Free On Board)]]&gt;=5000,"Mediana","Pequeña"))</f>
        <v>Mediana</v>
      </c>
      <c r="V2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29" spans="2:32" x14ac:dyDescent="0.3">
      <c r="B29" s="14" t="s">
        <v>75</v>
      </c>
      <c r="C29" s="7">
        <v>46239</v>
      </c>
      <c r="D29" s="5" t="s">
        <v>28</v>
      </c>
      <c r="E29" s="5" t="s">
        <v>15</v>
      </c>
      <c r="F29" s="5" t="s">
        <v>30</v>
      </c>
      <c r="G29" s="5">
        <v>950</v>
      </c>
      <c r="H29" s="25">
        <v>6.5</v>
      </c>
      <c r="I29" s="5">
        <v>4.0999999999999996</v>
      </c>
      <c r="J29" s="15" t="s">
        <v>26</v>
      </c>
      <c r="K29" s="5" t="str">
        <f>VLOOKUP(E:E,'2. Productos'!$C$3:$F$8,2,FALSE)</f>
        <v>Café especial</v>
      </c>
      <c r="L29" s="5" t="str">
        <f>VLOOKUP(E:E,'2. Productos'!$C$3:$E$8,3,FALSE)</f>
        <v>Café</v>
      </c>
      <c r="M29" s="5" t="str">
        <f>VLOOKUP(F:F,'3. Mercados'!$C$3:$F$9,2,FALSE)</f>
        <v>Norteamérica</v>
      </c>
      <c r="N29" s="16">
        <f>VLOOKUP(F:F,'3. Mercados'!$C$3:$F$9,3,FALSE)</f>
        <v>0.08</v>
      </c>
      <c r="O29" s="5" t="str">
        <f>VLOOKUP(F:F,'3. Mercados'!$C$3:$F$9,4,FALSE)</f>
        <v>Potencial</v>
      </c>
      <c r="P29" s="25">
        <f>Tabla1[[#This Row],[Unidades]]*Tabla1[[#This Row],[Precio FOB]]</f>
        <v>6175</v>
      </c>
      <c r="Q29" s="35">
        <f>Tabla1[[#This Row],[Unidades]]*Tabla1[[#This Row],[Costo Unitario]]</f>
        <v>3894.9999999999995</v>
      </c>
      <c r="R29" s="25">
        <f>Tabla1[[#This Row],[Valor FOB (Free On Board)]]-Tabla1[[#This Row],[Costo total]]</f>
        <v>2280.0000000000005</v>
      </c>
      <c r="S29" s="16">
        <f>Tabla1[[#This Row],[Utilidad]]/Tabla1[[#This Row],[Valor FOB (Free On Board)]]</f>
        <v>0.36923076923076931</v>
      </c>
      <c r="T29" s="25" t="str">
        <f>IF(Tabla1[[#This Row],[Margen]]&gt;=30%,"Alta",IF(Tabla1[[#This Row],[Margen]]&gt;=15%,"Media","Baja"))</f>
        <v>Alta</v>
      </c>
      <c r="U29" s="25" t="str">
        <f>IF(Tabla1[[#This Row],[Valor FOB (Free On Board)]]&gt;=10000,"Grande",IF(Tabla1[[#This Row],[Valor FOB (Free On Board)]]&gt;=5000,"Mediana","Pequeña"))</f>
        <v>Mediana</v>
      </c>
      <c r="V2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30" spans="2:32" x14ac:dyDescent="0.3">
      <c r="B30" s="14" t="s">
        <v>76</v>
      </c>
      <c r="C30" s="7">
        <v>46247</v>
      </c>
      <c r="D30" s="5" t="s">
        <v>14</v>
      </c>
      <c r="E30" s="5" t="s">
        <v>29</v>
      </c>
      <c r="F30" s="5" t="s">
        <v>16</v>
      </c>
      <c r="G30" s="5">
        <v>700</v>
      </c>
      <c r="H30" s="25">
        <v>12.5</v>
      </c>
      <c r="I30" s="5">
        <v>8.6999999999999993</v>
      </c>
      <c r="J30" s="15" t="s">
        <v>17</v>
      </c>
      <c r="K30" s="5" t="str">
        <f>VLOOKUP(E:E,'2. Productos'!$C$3:$F$8,2,FALSE)</f>
        <v>Aceite de ajonjolí</v>
      </c>
      <c r="L30" s="5" t="str">
        <f>VLOOKUP(E:E,'2. Productos'!$C$3:$E$8,3,FALSE)</f>
        <v>Aceites</v>
      </c>
      <c r="M30" s="5" t="str">
        <f>VLOOKUP(F:F,'3. Mercados'!$C$3:$F$9,2,FALSE)</f>
        <v>Norteamérica</v>
      </c>
      <c r="N30" s="16">
        <f>VLOOKUP(F:F,'3. Mercados'!$C$3:$F$9,3,FALSE)</f>
        <v>0.05</v>
      </c>
      <c r="O30" s="5" t="str">
        <f>VLOOKUP(F:F,'3. Mercados'!$C$3:$F$9,4,FALSE)</f>
        <v>Estratégico</v>
      </c>
      <c r="P30" s="25">
        <f>Tabla1[[#This Row],[Unidades]]*Tabla1[[#This Row],[Precio FOB]]</f>
        <v>8750</v>
      </c>
      <c r="Q30" s="35">
        <f>Tabla1[[#This Row],[Unidades]]*Tabla1[[#This Row],[Costo Unitario]]</f>
        <v>6089.9999999999991</v>
      </c>
      <c r="R30" s="25">
        <f>Tabla1[[#This Row],[Valor FOB (Free On Board)]]-Tabla1[[#This Row],[Costo total]]</f>
        <v>2660.0000000000009</v>
      </c>
      <c r="S30" s="16">
        <f>Tabla1[[#This Row],[Utilidad]]/Tabla1[[#This Row],[Valor FOB (Free On Board)]]</f>
        <v>0.3040000000000001</v>
      </c>
      <c r="T30" s="25" t="str">
        <f>IF(Tabla1[[#This Row],[Margen]]&gt;=30%,"Alta",IF(Tabla1[[#This Row],[Margen]]&gt;=15%,"Media","Baja"))</f>
        <v>Alta</v>
      </c>
      <c r="U30" s="25" t="str">
        <f>IF(Tabla1[[#This Row],[Valor FOB (Free On Board)]]&gt;=10000,"Grande",IF(Tabla1[[#This Row],[Valor FOB (Free On Board)]]&gt;=5000,"Mediana","Pequeña"))</f>
        <v>Mediana</v>
      </c>
      <c r="V3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31" spans="2:32" x14ac:dyDescent="0.3">
      <c r="B31" s="14" t="s">
        <v>77</v>
      </c>
      <c r="C31" s="7">
        <v>46255</v>
      </c>
      <c r="D31" s="5" t="s">
        <v>9</v>
      </c>
      <c r="E31" s="5" t="s">
        <v>10</v>
      </c>
      <c r="F31" s="5" t="s">
        <v>11</v>
      </c>
      <c r="G31" s="5">
        <v>1050</v>
      </c>
      <c r="H31" s="25">
        <v>4.8</v>
      </c>
      <c r="I31" s="5">
        <v>3.2</v>
      </c>
      <c r="J31" s="15" t="s">
        <v>12</v>
      </c>
      <c r="K31" s="5" t="str">
        <f>VLOOKUP(E:E,'2. Productos'!$C$3:$F$8,2,FALSE)</f>
        <v>Miel natural</v>
      </c>
      <c r="L31" s="5" t="str">
        <f>VLOOKUP(E:E,'2. Productos'!$C$3:$E$8,3,FALSE)</f>
        <v>Apícola</v>
      </c>
      <c r="M31" s="5" t="str">
        <f>VLOOKUP(F:F,'3. Mercados'!$C$3:$F$9,2,FALSE)</f>
        <v>Centroamérica</v>
      </c>
      <c r="N31" s="16">
        <f>VLOOKUP(F:F,'3. Mercados'!$C$3:$F$9,3,FALSE)</f>
        <v>0.03</v>
      </c>
      <c r="O31" s="5" t="str">
        <f>VLOOKUP(F:F,'3. Mercados'!$C$3:$F$9,4,FALSE)</f>
        <v>Estratégico</v>
      </c>
      <c r="P31" s="25">
        <f>Tabla1[[#This Row],[Unidades]]*Tabla1[[#This Row],[Precio FOB]]</f>
        <v>5040</v>
      </c>
      <c r="Q31" s="35">
        <f>Tabla1[[#This Row],[Unidades]]*Tabla1[[#This Row],[Costo Unitario]]</f>
        <v>3360</v>
      </c>
      <c r="R31" s="25">
        <f>Tabla1[[#This Row],[Valor FOB (Free On Board)]]-Tabla1[[#This Row],[Costo total]]</f>
        <v>1680</v>
      </c>
      <c r="S31" s="16">
        <f>Tabla1[[#This Row],[Utilidad]]/Tabla1[[#This Row],[Valor FOB (Free On Board)]]</f>
        <v>0.33333333333333331</v>
      </c>
      <c r="T31" s="25" t="str">
        <f>IF(Tabla1[[#This Row],[Margen]]&gt;=30%,"Alta",IF(Tabla1[[#This Row],[Margen]]&gt;=15%,"Media","Baja"))</f>
        <v>Alta</v>
      </c>
      <c r="U31" s="25" t="str">
        <f>IF(Tabla1[[#This Row],[Valor FOB (Free On Board)]]&gt;=10000,"Grande",IF(Tabla1[[#This Row],[Valor FOB (Free On Board)]]&gt;=5000,"Mediana","Pequeña"))</f>
        <v>Mediana</v>
      </c>
      <c r="V3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32" spans="2:32" x14ac:dyDescent="0.3">
      <c r="B32" s="14" t="s">
        <v>78</v>
      </c>
      <c r="C32" s="7">
        <v>46263</v>
      </c>
      <c r="D32" s="5" t="s">
        <v>19</v>
      </c>
      <c r="E32" s="5" t="s">
        <v>24</v>
      </c>
      <c r="F32" s="5" t="s">
        <v>21</v>
      </c>
      <c r="G32" s="5">
        <v>850</v>
      </c>
      <c r="H32" s="25">
        <v>7.1</v>
      </c>
      <c r="I32" s="5">
        <v>4.8</v>
      </c>
      <c r="J32" s="15" t="s">
        <v>17</v>
      </c>
      <c r="K32" s="5" t="str">
        <f>VLOOKUP(E:E,'2. Productos'!$C$3:$F$8,2,FALSE)</f>
        <v>Cacao en grano</v>
      </c>
      <c r="L32" s="5" t="str">
        <f>VLOOKUP(E:E,'2. Productos'!$C$3:$E$8,3,FALSE)</f>
        <v>Cacao</v>
      </c>
      <c r="M32" s="5" t="str">
        <f>VLOOKUP(F:F,'3. Mercados'!$C$3:$F$9,2,FALSE)</f>
        <v>Centroamérica</v>
      </c>
      <c r="N32" s="16">
        <f>VLOOKUP(F:F,'3. Mercados'!$C$3:$F$9,3,FALSE)</f>
        <v>0.02</v>
      </c>
      <c r="O32" s="5" t="str">
        <f>VLOOKUP(F:F,'3. Mercados'!$C$3:$F$9,4,FALSE)</f>
        <v>Estratégico</v>
      </c>
      <c r="P32" s="25">
        <f>Tabla1[[#This Row],[Unidades]]*Tabla1[[#This Row],[Precio FOB]]</f>
        <v>6035</v>
      </c>
      <c r="Q32" s="35">
        <f>Tabla1[[#This Row],[Unidades]]*Tabla1[[#This Row],[Costo Unitario]]</f>
        <v>4080</v>
      </c>
      <c r="R32" s="25">
        <f>Tabla1[[#This Row],[Valor FOB (Free On Board)]]-Tabla1[[#This Row],[Costo total]]</f>
        <v>1955</v>
      </c>
      <c r="S32" s="16">
        <f>Tabla1[[#This Row],[Utilidad]]/Tabla1[[#This Row],[Valor FOB (Free On Board)]]</f>
        <v>0.323943661971831</v>
      </c>
      <c r="T32" s="25" t="str">
        <f>IF(Tabla1[[#This Row],[Margen]]&gt;=30%,"Alta",IF(Tabla1[[#This Row],[Margen]]&gt;=15%,"Media","Baja"))</f>
        <v>Alta</v>
      </c>
      <c r="U32" s="25" t="str">
        <f>IF(Tabla1[[#This Row],[Valor FOB (Free On Board)]]&gt;=10000,"Grande",IF(Tabla1[[#This Row],[Valor FOB (Free On Board)]]&gt;=5000,"Mediana","Pequeña"))</f>
        <v>Mediana</v>
      </c>
      <c r="V3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33" spans="2:22" x14ac:dyDescent="0.3">
      <c r="B33" s="14" t="s">
        <v>79</v>
      </c>
      <c r="C33" s="7">
        <v>46269</v>
      </c>
      <c r="D33" s="5" t="s">
        <v>23</v>
      </c>
      <c r="E33" s="5" t="s">
        <v>15</v>
      </c>
      <c r="F33" s="5" t="s">
        <v>25</v>
      </c>
      <c r="G33" s="5">
        <v>1200</v>
      </c>
      <c r="H33" s="25">
        <v>6.5</v>
      </c>
      <c r="I33" s="5">
        <v>4.0999999999999996</v>
      </c>
      <c r="J33" s="15" t="s">
        <v>12</v>
      </c>
      <c r="K33" s="5" t="str">
        <f>VLOOKUP(E:E,'2. Productos'!$C$3:$F$8,2,FALSE)</f>
        <v>Café especial</v>
      </c>
      <c r="L33" s="5" t="str">
        <f>VLOOKUP(E:E,'2. Productos'!$C$3:$E$8,3,FALSE)</f>
        <v>Café</v>
      </c>
      <c r="M33" s="5" t="str">
        <f>VLOOKUP(F:F,'3. Mercados'!$C$3:$F$9,2,FALSE)</f>
        <v>Europa</v>
      </c>
      <c r="N33" s="16">
        <f>VLOOKUP(F:F,'3. Mercados'!$C$3:$F$9,3,FALSE)</f>
        <v>0.1</v>
      </c>
      <c r="O33" s="5" t="str">
        <f>VLOOKUP(F:F,'3. Mercados'!$C$3:$F$9,4,FALSE)</f>
        <v>Potencial</v>
      </c>
      <c r="P33" s="25">
        <f>Tabla1[[#This Row],[Unidades]]*Tabla1[[#This Row],[Precio FOB]]</f>
        <v>7800</v>
      </c>
      <c r="Q33" s="35">
        <f>Tabla1[[#This Row],[Unidades]]*Tabla1[[#This Row],[Costo Unitario]]</f>
        <v>4920</v>
      </c>
      <c r="R33" s="25">
        <f>Tabla1[[#This Row],[Valor FOB (Free On Board)]]-Tabla1[[#This Row],[Costo total]]</f>
        <v>2880</v>
      </c>
      <c r="S33" s="16">
        <f>Tabla1[[#This Row],[Utilidad]]/Tabla1[[#This Row],[Valor FOB (Free On Board)]]</f>
        <v>0.36923076923076925</v>
      </c>
      <c r="T33" s="25" t="str">
        <f>IF(Tabla1[[#This Row],[Margen]]&gt;=30%,"Alta",IF(Tabla1[[#This Row],[Margen]]&gt;=15%,"Media","Baja"))</f>
        <v>Alta</v>
      </c>
      <c r="U33" s="25" t="str">
        <f>IF(Tabla1[[#This Row],[Valor FOB (Free On Board)]]&gt;=10000,"Grande",IF(Tabla1[[#This Row],[Valor FOB (Free On Board)]]&gt;=5000,"Mediana","Pequeña"))</f>
        <v>Mediana</v>
      </c>
      <c r="V3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34" spans="2:22" x14ac:dyDescent="0.3">
      <c r="B34" s="14" t="s">
        <v>80</v>
      </c>
      <c r="C34" s="7">
        <v>46277</v>
      </c>
      <c r="D34" s="5" t="s">
        <v>28</v>
      </c>
      <c r="E34" s="5" t="s">
        <v>20</v>
      </c>
      <c r="F34" s="5" t="s">
        <v>30</v>
      </c>
      <c r="G34" s="5">
        <v>600</v>
      </c>
      <c r="H34" s="25">
        <v>8.1999999999999993</v>
      </c>
      <c r="I34" s="5">
        <v>5.9</v>
      </c>
      <c r="J34" s="15" t="s">
        <v>17</v>
      </c>
      <c r="K34" s="5" t="str">
        <f>VLOOKUP(E:E,'2. Productos'!$C$3:$F$8,2,FALSE)</f>
        <v>Maní procesado</v>
      </c>
      <c r="L34" s="5" t="str">
        <f>VLOOKUP(E:E,'2. Productos'!$C$3:$E$8,3,FALSE)</f>
        <v>Semillas</v>
      </c>
      <c r="M34" s="5" t="str">
        <f>VLOOKUP(F:F,'3. Mercados'!$C$3:$F$9,2,FALSE)</f>
        <v>Norteamérica</v>
      </c>
      <c r="N34" s="16">
        <f>VLOOKUP(F:F,'3. Mercados'!$C$3:$F$9,3,FALSE)</f>
        <v>0.08</v>
      </c>
      <c r="O34" s="5" t="str">
        <f>VLOOKUP(F:F,'3. Mercados'!$C$3:$F$9,4,FALSE)</f>
        <v>Potencial</v>
      </c>
      <c r="P34" s="25">
        <f>Tabla1[[#This Row],[Unidades]]*Tabla1[[#This Row],[Precio FOB]]</f>
        <v>4920</v>
      </c>
      <c r="Q34" s="35">
        <f>Tabla1[[#This Row],[Unidades]]*Tabla1[[#This Row],[Costo Unitario]]</f>
        <v>3540</v>
      </c>
      <c r="R34" s="25">
        <f>Tabla1[[#This Row],[Valor FOB (Free On Board)]]-Tabla1[[#This Row],[Costo total]]</f>
        <v>1380</v>
      </c>
      <c r="S34" s="16">
        <f>Tabla1[[#This Row],[Utilidad]]/Tabla1[[#This Row],[Valor FOB (Free On Board)]]</f>
        <v>0.28048780487804881</v>
      </c>
      <c r="T34" s="25" t="str">
        <f>IF(Tabla1[[#This Row],[Margen]]&gt;=30%,"Alta",IF(Tabla1[[#This Row],[Margen]]&gt;=15%,"Media","Baja"))</f>
        <v>Media</v>
      </c>
      <c r="U34" s="25" t="str">
        <f>IF(Tabla1[[#This Row],[Valor FOB (Free On Board)]]&gt;=10000,"Grande",IF(Tabla1[[#This Row],[Valor FOB (Free On Board)]]&gt;=5000,"Mediana","Pequeña"))</f>
        <v>Pequeña</v>
      </c>
      <c r="V3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Baja</v>
      </c>
    </row>
    <row r="35" spans="2:22" x14ac:dyDescent="0.3">
      <c r="B35" s="14" t="s">
        <v>81</v>
      </c>
      <c r="C35" s="7">
        <v>46285</v>
      </c>
      <c r="D35" s="5" t="s">
        <v>14</v>
      </c>
      <c r="E35" s="5" t="s">
        <v>10</v>
      </c>
      <c r="F35" s="5" t="s">
        <v>16</v>
      </c>
      <c r="G35" s="5">
        <v>1350</v>
      </c>
      <c r="H35" s="25">
        <v>4.8</v>
      </c>
      <c r="I35" s="5">
        <v>3.2</v>
      </c>
      <c r="J35" s="15" t="s">
        <v>17</v>
      </c>
      <c r="K35" s="5" t="str">
        <f>VLOOKUP(E:E,'2. Productos'!$C$3:$F$8,2,FALSE)</f>
        <v>Miel natural</v>
      </c>
      <c r="L35" s="5" t="str">
        <f>VLOOKUP(E:E,'2. Productos'!$C$3:$E$8,3,FALSE)</f>
        <v>Apícola</v>
      </c>
      <c r="M35" s="5" t="str">
        <f>VLOOKUP(F:F,'3. Mercados'!$C$3:$F$9,2,FALSE)</f>
        <v>Norteamérica</v>
      </c>
      <c r="N35" s="16">
        <f>VLOOKUP(F:F,'3. Mercados'!$C$3:$F$9,3,FALSE)</f>
        <v>0.05</v>
      </c>
      <c r="O35" s="5" t="str">
        <f>VLOOKUP(F:F,'3. Mercados'!$C$3:$F$9,4,FALSE)</f>
        <v>Estratégico</v>
      </c>
      <c r="P35" s="25">
        <f>Tabla1[[#This Row],[Unidades]]*Tabla1[[#This Row],[Precio FOB]]</f>
        <v>6480</v>
      </c>
      <c r="Q35" s="35">
        <f>Tabla1[[#This Row],[Unidades]]*Tabla1[[#This Row],[Costo Unitario]]</f>
        <v>4320</v>
      </c>
      <c r="R35" s="25">
        <f>Tabla1[[#This Row],[Valor FOB (Free On Board)]]-Tabla1[[#This Row],[Costo total]]</f>
        <v>2160</v>
      </c>
      <c r="S35" s="16">
        <f>Tabla1[[#This Row],[Utilidad]]/Tabla1[[#This Row],[Valor FOB (Free On Board)]]</f>
        <v>0.33333333333333331</v>
      </c>
      <c r="T35" s="25" t="str">
        <f>IF(Tabla1[[#This Row],[Margen]]&gt;=30%,"Alta",IF(Tabla1[[#This Row],[Margen]]&gt;=15%,"Media","Baja"))</f>
        <v>Alta</v>
      </c>
      <c r="U35" s="25" t="str">
        <f>IF(Tabla1[[#This Row],[Valor FOB (Free On Board)]]&gt;=10000,"Grande",IF(Tabla1[[#This Row],[Valor FOB (Free On Board)]]&gt;=5000,"Mediana","Pequeña"))</f>
        <v>Mediana</v>
      </c>
      <c r="V3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36" spans="2:22" x14ac:dyDescent="0.3">
      <c r="B36" s="14" t="s">
        <v>82</v>
      </c>
      <c r="C36" s="7">
        <v>46293</v>
      </c>
      <c r="D36" s="5" t="s">
        <v>9</v>
      </c>
      <c r="E36" s="5" t="s">
        <v>29</v>
      </c>
      <c r="F36" s="5" t="s">
        <v>11</v>
      </c>
      <c r="G36" s="5">
        <v>500</v>
      </c>
      <c r="H36" s="25">
        <v>12.5</v>
      </c>
      <c r="I36" s="5">
        <v>8.6999999999999993</v>
      </c>
      <c r="J36" s="15" t="s">
        <v>26</v>
      </c>
      <c r="K36" s="5" t="str">
        <f>VLOOKUP(E:E,'2. Productos'!$C$3:$F$8,2,FALSE)</f>
        <v>Aceite de ajonjolí</v>
      </c>
      <c r="L36" s="5" t="str">
        <f>VLOOKUP(E:E,'2. Productos'!$C$3:$E$8,3,FALSE)</f>
        <v>Aceites</v>
      </c>
      <c r="M36" s="5" t="str">
        <f>VLOOKUP(F:F,'3. Mercados'!$C$3:$F$9,2,FALSE)</f>
        <v>Centroamérica</v>
      </c>
      <c r="N36" s="16">
        <f>VLOOKUP(F:F,'3. Mercados'!$C$3:$F$9,3,FALSE)</f>
        <v>0.03</v>
      </c>
      <c r="O36" s="5" t="str">
        <f>VLOOKUP(F:F,'3. Mercados'!$C$3:$F$9,4,FALSE)</f>
        <v>Estratégico</v>
      </c>
      <c r="P36" s="25">
        <f>Tabla1[[#This Row],[Unidades]]*Tabla1[[#This Row],[Precio FOB]]</f>
        <v>6250</v>
      </c>
      <c r="Q36" s="35">
        <f>Tabla1[[#This Row],[Unidades]]*Tabla1[[#This Row],[Costo Unitario]]</f>
        <v>4350</v>
      </c>
      <c r="R36" s="25">
        <f>Tabla1[[#This Row],[Valor FOB (Free On Board)]]-Tabla1[[#This Row],[Costo total]]</f>
        <v>1900</v>
      </c>
      <c r="S36" s="16">
        <f>Tabla1[[#This Row],[Utilidad]]/Tabla1[[#This Row],[Valor FOB (Free On Board)]]</f>
        <v>0.30399999999999999</v>
      </c>
      <c r="T36" s="25" t="str">
        <f>IF(Tabla1[[#This Row],[Margen]]&gt;=30%,"Alta",IF(Tabla1[[#This Row],[Margen]]&gt;=15%,"Media","Baja"))</f>
        <v>Alta</v>
      </c>
      <c r="U36" s="25" t="str">
        <f>IF(Tabla1[[#This Row],[Valor FOB (Free On Board)]]&gt;=10000,"Grande",IF(Tabla1[[#This Row],[Valor FOB (Free On Board)]]&gt;=5000,"Mediana","Pequeña"))</f>
        <v>Mediana</v>
      </c>
      <c r="V3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37" spans="2:22" x14ac:dyDescent="0.3">
      <c r="B37" s="14" t="s">
        <v>83</v>
      </c>
      <c r="C37" s="7">
        <v>46301</v>
      </c>
      <c r="D37" s="5" t="s">
        <v>19</v>
      </c>
      <c r="E37" s="5" t="s">
        <v>15</v>
      </c>
      <c r="F37" s="5" t="s">
        <v>21</v>
      </c>
      <c r="G37" s="5">
        <v>950</v>
      </c>
      <c r="H37" s="25">
        <v>6.5</v>
      </c>
      <c r="I37" s="5">
        <v>4.0999999999999996</v>
      </c>
      <c r="J37" s="15" t="s">
        <v>12</v>
      </c>
      <c r="K37" s="5" t="str">
        <f>VLOOKUP(E:E,'2. Productos'!$C$3:$F$8,2,FALSE)</f>
        <v>Café especial</v>
      </c>
      <c r="L37" s="5" t="str">
        <f>VLOOKUP(E:E,'2. Productos'!$C$3:$E$8,3,FALSE)</f>
        <v>Café</v>
      </c>
      <c r="M37" s="5" t="str">
        <f>VLOOKUP(F:F,'3. Mercados'!$C$3:$F$9,2,FALSE)</f>
        <v>Centroamérica</v>
      </c>
      <c r="N37" s="16">
        <f>VLOOKUP(F:F,'3. Mercados'!$C$3:$F$9,3,FALSE)</f>
        <v>0.02</v>
      </c>
      <c r="O37" s="5" t="str">
        <f>VLOOKUP(F:F,'3. Mercados'!$C$3:$F$9,4,FALSE)</f>
        <v>Estratégico</v>
      </c>
      <c r="P37" s="25">
        <f>Tabla1[[#This Row],[Unidades]]*Tabla1[[#This Row],[Precio FOB]]</f>
        <v>6175</v>
      </c>
      <c r="Q37" s="35">
        <f>Tabla1[[#This Row],[Unidades]]*Tabla1[[#This Row],[Costo Unitario]]</f>
        <v>3894.9999999999995</v>
      </c>
      <c r="R37" s="25">
        <f>Tabla1[[#This Row],[Valor FOB (Free On Board)]]-Tabla1[[#This Row],[Costo total]]</f>
        <v>2280.0000000000005</v>
      </c>
      <c r="S37" s="16">
        <f>Tabla1[[#This Row],[Utilidad]]/Tabla1[[#This Row],[Valor FOB (Free On Board)]]</f>
        <v>0.36923076923076931</v>
      </c>
      <c r="T37" s="25" t="str">
        <f>IF(Tabla1[[#This Row],[Margen]]&gt;=30%,"Alta",IF(Tabla1[[#This Row],[Margen]]&gt;=15%,"Media","Baja"))</f>
        <v>Alta</v>
      </c>
      <c r="U37" s="25" t="str">
        <f>IF(Tabla1[[#This Row],[Valor FOB (Free On Board)]]&gt;=10000,"Grande",IF(Tabla1[[#This Row],[Valor FOB (Free On Board)]]&gt;=5000,"Mediana","Pequeña"))</f>
        <v>Mediana</v>
      </c>
      <c r="V3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38" spans="2:22" x14ac:dyDescent="0.3">
      <c r="B38" s="14" t="s">
        <v>84</v>
      </c>
      <c r="C38" s="7">
        <v>46309</v>
      </c>
      <c r="D38" s="5" t="s">
        <v>23</v>
      </c>
      <c r="E38" s="5" t="s">
        <v>24</v>
      </c>
      <c r="F38" s="5" t="s">
        <v>25</v>
      </c>
      <c r="G38" s="5">
        <v>1050</v>
      </c>
      <c r="H38" s="25">
        <v>7.1</v>
      </c>
      <c r="I38" s="5">
        <v>4.8</v>
      </c>
      <c r="J38" s="15" t="s">
        <v>17</v>
      </c>
      <c r="K38" s="5" t="str">
        <f>VLOOKUP(E:E,'2. Productos'!$C$3:$F$8,2,FALSE)</f>
        <v>Cacao en grano</v>
      </c>
      <c r="L38" s="5" t="str">
        <f>VLOOKUP(E:E,'2. Productos'!$C$3:$E$8,3,FALSE)</f>
        <v>Cacao</v>
      </c>
      <c r="M38" s="5" t="str">
        <f>VLOOKUP(F:F,'3. Mercados'!$C$3:$F$9,2,FALSE)</f>
        <v>Europa</v>
      </c>
      <c r="N38" s="16">
        <f>VLOOKUP(F:F,'3. Mercados'!$C$3:$F$9,3,FALSE)</f>
        <v>0.1</v>
      </c>
      <c r="O38" s="5" t="str">
        <f>VLOOKUP(F:F,'3. Mercados'!$C$3:$F$9,4,FALSE)</f>
        <v>Potencial</v>
      </c>
      <c r="P38" s="25">
        <f>Tabla1[[#This Row],[Unidades]]*Tabla1[[#This Row],[Precio FOB]]</f>
        <v>7455</v>
      </c>
      <c r="Q38" s="35">
        <f>Tabla1[[#This Row],[Unidades]]*Tabla1[[#This Row],[Costo Unitario]]</f>
        <v>5040</v>
      </c>
      <c r="R38" s="25">
        <f>Tabla1[[#This Row],[Valor FOB (Free On Board)]]-Tabla1[[#This Row],[Costo total]]</f>
        <v>2415</v>
      </c>
      <c r="S38" s="16">
        <f>Tabla1[[#This Row],[Utilidad]]/Tabla1[[#This Row],[Valor FOB (Free On Board)]]</f>
        <v>0.323943661971831</v>
      </c>
      <c r="T38" s="25" t="str">
        <f>IF(Tabla1[[#This Row],[Margen]]&gt;=30%,"Alta",IF(Tabla1[[#This Row],[Margen]]&gt;=15%,"Media","Baja"))</f>
        <v>Alta</v>
      </c>
      <c r="U38" s="25" t="str">
        <f>IF(Tabla1[[#This Row],[Valor FOB (Free On Board)]]&gt;=10000,"Grande",IF(Tabla1[[#This Row],[Valor FOB (Free On Board)]]&gt;=5000,"Mediana","Pequeña"))</f>
        <v>Mediana</v>
      </c>
      <c r="V3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39" spans="2:22" x14ac:dyDescent="0.3">
      <c r="B39" s="14" t="s">
        <v>85</v>
      </c>
      <c r="C39" s="7">
        <v>46317</v>
      </c>
      <c r="D39" s="5" t="s">
        <v>28</v>
      </c>
      <c r="E39" s="5" t="s">
        <v>10</v>
      </c>
      <c r="F39" s="5" t="s">
        <v>30</v>
      </c>
      <c r="G39" s="5">
        <v>750</v>
      </c>
      <c r="H39" s="25">
        <v>4.8</v>
      </c>
      <c r="I39" s="5">
        <v>3.2</v>
      </c>
      <c r="J39" s="15" t="s">
        <v>12</v>
      </c>
      <c r="K39" s="5" t="str">
        <f>VLOOKUP(E:E,'2. Productos'!$C$3:$F$8,2,FALSE)</f>
        <v>Miel natural</v>
      </c>
      <c r="L39" s="5" t="str">
        <f>VLOOKUP(E:E,'2. Productos'!$C$3:$E$8,3,FALSE)</f>
        <v>Apícola</v>
      </c>
      <c r="M39" s="5" t="str">
        <f>VLOOKUP(F:F,'3. Mercados'!$C$3:$F$9,2,FALSE)</f>
        <v>Norteamérica</v>
      </c>
      <c r="N39" s="16">
        <f>VLOOKUP(F:F,'3. Mercados'!$C$3:$F$9,3,FALSE)</f>
        <v>0.08</v>
      </c>
      <c r="O39" s="5" t="str">
        <f>VLOOKUP(F:F,'3. Mercados'!$C$3:$F$9,4,FALSE)</f>
        <v>Potencial</v>
      </c>
      <c r="P39" s="25">
        <f>Tabla1[[#This Row],[Unidades]]*Tabla1[[#This Row],[Precio FOB]]</f>
        <v>3600</v>
      </c>
      <c r="Q39" s="35">
        <f>Tabla1[[#This Row],[Unidades]]*Tabla1[[#This Row],[Costo Unitario]]</f>
        <v>2400</v>
      </c>
      <c r="R39" s="25">
        <f>Tabla1[[#This Row],[Valor FOB (Free On Board)]]-Tabla1[[#This Row],[Costo total]]</f>
        <v>1200</v>
      </c>
      <c r="S39" s="16">
        <f>Tabla1[[#This Row],[Utilidad]]/Tabla1[[#This Row],[Valor FOB (Free On Board)]]</f>
        <v>0.33333333333333331</v>
      </c>
      <c r="T39" s="25" t="str">
        <f>IF(Tabla1[[#This Row],[Margen]]&gt;=30%,"Alta",IF(Tabla1[[#This Row],[Margen]]&gt;=15%,"Media","Baja"))</f>
        <v>Alta</v>
      </c>
      <c r="U39" s="25" t="str">
        <f>IF(Tabla1[[#This Row],[Valor FOB (Free On Board)]]&gt;=10000,"Grande",IF(Tabla1[[#This Row],[Valor FOB (Free On Board)]]&gt;=5000,"Mediana","Pequeña"))</f>
        <v>Pequeña</v>
      </c>
      <c r="V3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40" spans="2:22" x14ac:dyDescent="0.3">
      <c r="B40" s="14" t="s">
        <v>86</v>
      </c>
      <c r="C40" s="7">
        <v>46325</v>
      </c>
      <c r="D40" s="5" t="s">
        <v>14</v>
      </c>
      <c r="E40" s="5" t="s">
        <v>20</v>
      </c>
      <c r="F40" s="5" t="s">
        <v>16</v>
      </c>
      <c r="G40" s="5">
        <v>900</v>
      </c>
      <c r="H40" s="25">
        <v>8.1999999999999993</v>
      </c>
      <c r="I40" s="5">
        <v>5.9</v>
      </c>
      <c r="J40" s="15" t="s">
        <v>17</v>
      </c>
      <c r="K40" s="5" t="str">
        <f>VLOOKUP(E:E,'2. Productos'!$C$3:$F$8,2,FALSE)</f>
        <v>Maní procesado</v>
      </c>
      <c r="L40" s="5" t="str">
        <f>VLOOKUP(E:E,'2. Productos'!$C$3:$E$8,3,FALSE)</f>
        <v>Semillas</v>
      </c>
      <c r="M40" s="5" t="str">
        <f>VLOOKUP(F:F,'3. Mercados'!$C$3:$F$9,2,FALSE)</f>
        <v>Norteamérica</v>
      </c>
      <c r="N40" s="16">
        <f>VLOOKUP(F:F,'3. Mercados'!$C$3:$F$9,3,FALSE)</f>
        <v>0.05</v>
      </c>
      <c r="O40" s="5" t="str">
        <f>VLOOKUP(F:F,'3. Mercados'!$C$3:$F$9,4,FALSE)</f>
        <v>Estratégico</v>
      </c>
      <c r="P40" s="25">
        <f>Tabla1[[#This Row],[Unidades]]*Tabla1[[#This Row],[Precio FOB]]</f>
        <v>7379.9999999999991</v>
      </c>
      <c r="Q40" s="35">
        <f>Tabla1[[#This Row],[Unidades]]*Tabla1[[#This Row],[Costo Unitario]]</f>
        <v>5310</v>
      </c>
      <c r="R40" s="25">
        <f>Tabla1[[#This Row],[Valor FOB (Free On Board)]]-Tabla1[[#This Row],[Costo total]]</f>
        <v>2069.9999999999991</v>
      </c>
      <c r="S40" s="16">
        <f>Tabla1[[#This Row],[Utilidad]]/Tabla1[[#This Row],[Valor FOB (Free On Board)]]</f>
        <v>0.2804878048780487</v>
      </c>
      <c r="T40" s="25" t="str">
        <f>IF(Tabla1[[#This Row],[Margen]]&gt;=30%,"Alta",IF(Tabla1[[#This Row],[Margen]]&gt;=15%,"Media","Baja"))</f>
        <v>Media</v>
      </c>
      <c r="U40" s="25" t="str">
        <f>IF(Tabla1[[#This Row],[Valor FOB (Free On Board)]]&gt;=10000,"Grande",IF(Tabla1[[#This Row],[Valor FOB (Free On Board)]]&gt;=5000,"Mediana","Pequeña"))</f>
        <v>Mediana</v>
      </c>
      <c r="V4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41" spans="2:22" x14ac:dyDescent="0.3">
      <c r="B41" s="14" t="s">
        <v>87</v>
      </c>
      <c r="C41" s="7">
        <v>46333</v>
      </c>
      <c r="D41" s="5" t="s">
        <v>9</v>
      </c>
      <c r="E41" s="5" t="s">
        <v>15</v>
      </c>
      <c r="F41" s="5" t="s">
        <v>11</v>
      </c>
      <c r="G41" s="5">
        <v>1150</v>
      </c>
      <c r="H41" s="25">
        <v>6.5</v>
      </c>
      <c r="I41" s="5">
        <v>4.0999999999999996</v>
      </c>
      <c r="J41" s="15" t="s">
        <v>17</v>
      </c>
      <c r="K41" s="5" t="str">
        <f>VLOOKUP(E:E,'2. Productos'!$C$3:$F$8,2,FALSE)</f>
        <v>Café especial</v>
      </c>
      <c r="L41" s="5" t="str">
        <f>VLOOKUP(E:E,'2. Productos'!$C$3:$E$8,3,FALSE)</f>
        <v>Café</v>
      </c>
      <c r="M41" s="5" t="str">
        <f>VLOOKUP(F:F,'3. Mercados'!$C$3:$F$9,2,FALSE)</f>
        <v>Centroamérica</v>
      </c>
      <c r="N41" s="16">
        <f>VLOOKUP(F:F,'3. Mercados'!$C$3:$F$9,3,FALSE)</f>
        <v>0.03</v>
      </c>
      <c r="O41" s="5" t="str">
        <f>VLOOKUP(F:F,'3. Mercados'!$C$3:$F$9,4,FALSE)</f>
        <v>Estratégico</v>
      </c>
      <c r="P41" s="25">
        <f>Tabla1[[#This Row],[Unidades]]*Tabla1[[#This Row],[Precio FOB]]</f>
        <v>7475</v>
      </c>
      <c r="Q41" s="35">
        <f>Tabla1[[#This Row],[Unidades]]*Tabla1[[#This Row],[Costo Unitario]]</f>
        <v>4715</v>
      </c>
      <c r="R41" s="25">
        <f>Tabla1[[#This Row],[Valor FOB (Free On Board)]]-Tabla1[[#This Row],[Costo total]]</f>
        <v>2760</v>
      </c>
      <c r="S41" s="16">
        <f>Tabla1[[#This Row],[Utilidad]]/Tabla1[[#This Row],[Valor FOB (Free On Board)]]</f>
        <v>0.36923076923076925</v>
      </c>
      <c r="T41" s="25" t="str">
        <f>IF(Tabla1[[#This Row],[Margen]]&gt;=30%,"Alta",IF(Tabla1[[#This Row],[Margen]]&gt;=15%,"Media","Baja"))</f>
        <v>Alta</v>
      </c>
      <c r="U41" s="25" t="str">
        <f>IF(Tabla1[[#This Row],[Valor FOB (Free On Board)]]&gt;=10000,"Grande",IF(Tabla1[[#This Row],[Valor FOB (Free On Board)]]&gt;=5000,"Mediana","Pequeña"))</f>
        <v>Mediana</v>
      </c>
      <c r="V4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42" spans="2:22" x14ac:dyDescent="0.3">
      <c r="B42" s="14" t="s">
        <v>88</v>
      </c>
      <c r="C42" s="7">
        <v>46341</v>
      </c>
      <c r="D42" s="5" t="s">
        <v>19</v>
      </c>
      <c r="E42" s="5" t="s">
        <v>29</v>
      </c>
      <c r="F42" s="5" t="s">
        <v>21</v>
      </c>
      <c r="G42" s="5">
        <v>580</v>
      </c>
      <c r="H42" s="25">
        <v>12.5</v>
      </c>
      <c r="I42" s="5">
        <v>8.6999999999999993</v>
      </c>
      <c r="J42" s="15" t="s">
        <v>12</v>
      </c>
      <c r="K42" s="5" t="str">
        <f>VLOOKUP(E:E,'2. Productos'!$C$3:$F$8,2,FALSE)</f>
        <v>Aceite de ajonjolí</v>
      </c>
      <c r="L42" s="5" t="str">
        <f>VLOOKUP(E:E,'2. Productos'!$C$3:$E$8,3,FALSE)</f>
        <v>Aceites</v>
      </c>
      <c r="M42" s="5" t="str">
        <f>VLOOKUP(F:F,'3. Mercados'!$C$3:$F$9,2,FALSE)</f>
        <v>Centroamérica</v>
      </c>
      <c r="N42" s="16">
        <f>VLOOKUP(F:F,'3. Mercados'!$C$3:$F$9,3,FALSE)</f>
        <v>0.02</v>
      </c>
      <c r="O42" s="5" t="str">
        <f>VLOOKUP(F:F,'3. Mercados'!$C$3:$F$9,4,FALSE)</f>
        <v>Estratégico</v>
      </c>
      <c r="P42" s="25">
        <f>Tabla1[[#This Row],[Unidades]]*Tabla1[[#This Row],[Precio FOB]]</f>
        <v>7250</v>
      </c>
      <c r="Q42" s="35">
        <f>Tabla1[[#This Row],[Unidades]]*Tabla1[[#This Row],[Costo Unitario]]</f>
        <v>5046</v>
      </c>
      <c r="R42" s="25">
        <f>Tabla1[[#This Row],[Valor FOB (Free On Board)]]-Tabla1[[#This Row],[Costo total]]</f>
        <v>2204</v>
      </c>
      <c r="S42" s="16">
        <f>Tabla1[[#This Row],[Utilidad]]/Tabla1[[#This Row],[Valor FOB (Free On Board)]]</f>
        <v>0.30399999999999999</v>
      </c>
      <c r="T42" s="25" t="str">
        <f>IF(Tabla1[[#This Row],[Margen]]&gt;=30%,"Alta",IF(Tabla1[[#This Row],[Margen]]&gt;=15%,"Media","Baja"))</f>
        <v>Alta</v>
      </c>
      <c r="U42" s="25" t="str">
        <f>IF(Tabla1[[#This Row],[Valor FOB (Free On Board)]]&gt;=10000,"Grande",IF(Tabla1[[#This Row],[Valor FOB (Free On Board)]]&gt;=5000,"Mediana","Pequeña"))</f>
        <v>Mediana</v>
      </c>
      <c r="V4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43" spans="2:22" x14ac:dyDescent="0.3">
      <c r="B43" s="14" t="s">
        <v>89</v>
      </c>
      <c r="C43" s="7">
        <v>46349</v>
      </c>
      <c r="D43" s="5" t="s">
        <v>23</v>
      </c>
      <c r="E43" s="5" t="s">
        <v>10</v>
      </c>
      <c r="F43" s="5" t="s">
        <v>25</v>
      </c>
      <c r="G43" s="5">
        <v>1300</v>
      </c>
      <c r="H43" s="25">
        <v>4.8</v>
      </c>
      <c r="I43" s="5">
        <v>3.2</v>
      </c>
      <c r="J43" s="15" t="s">
        <v>26</v>
      </c>
      <c r="K43" s="5" t="str">
        <f>VLOOKUP(E:E,'2. Productos'!$C$3:$F$8,2,FALSE)</f>
        <v>Miel natural</v>
      </c>
      <c r="L43" s="5" t="str">
        <f>VLOOKUP(E:E,'2. Productos'!$C$3:$E$8,3,FALSE)</f>
        <v>Apícola</v>
      </c>
      <c r="M43" s="5" t="str">
        <f>VLOOKUP(F:F,'3. Mercados'!$C$3:$F$9,2,FALSE)</f>
        <v>Europa</v>
      </c>
      <c r="N43" s="16">
        <f>VLOOKUP(F:F,'3. Mercados'!$C$3:$F$9,3,FALSE)</f>
        <v>0.1</v>
      </c>
      <c r="O43" s="5" t="str">
        <f>VLOOKUP(F:F,'3. Mercados'!$C$3:$F$9,4,FALSE)</f>
        <v>Potencial</v>
      </c>
      <c r="P43" s="25">
        <f>Tabla1[[#This Row],[Unidades]]*Tabla1[[#This Row],[Precio FOB]]</f>
        <v>6240</v>
      </c>
      <c r="Q43" s="35">
        <f>Tabla1[[#This Row],[Unidades]]*Tabla1[[#This Row],[Costo Unitario]]</f>
        <v>4160</v>
      </c>
      <c r="R43" s="25">
        <f>Tabla1[[#This Row],[Valor FOB (Free On Board)]]-Tabla1[[#This Row],[Costo total]]</f>
        <v>2080</v>
      </c>
      <c r="S43" s="16">
        <f>Tabla1[[#This Row],[Utilidad]]/Tabla1[[#This Row],[Valor FOB (Free On Board)]]</f>
        <v>0.33333333333333331</v>
      </c>
      <c r="T43" s="25" t="str">
        <f>IF(Tabla1[[#This Row],[Margen]]&gt;=30%,"Alta",IF(Tabla1[[#This Row],[Margen]]&gt;=15%,"Media","Baja"))</f>
        <v>Alta</v>
      </c>
      <c r="U43" s="25" t="str">
        <f>IF(Tabla1[[#This Row],[Valor FOB (Free On Board)]]&gt;=10000,"Grande",IF(Tabla1[[#This Row],[Valor FOB (Free On Board)]]&gt;=5000,"Mediana","Pequeña"))</f>
        <v>Mediana</v>
      </c>
      <c r="V4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44" spans="2:22" x14ac:dyDescent="0.3">
      <c r="B44" s="14" t="s">
        <v>90</v>
      </c>
      <c r="C44" s="7">
        <v>46357</v>
      </c>
      <c r="D44" s="5" t="s">
        <v>28</v>
      </c>
      <c r="E44" s="5" t="s">
        <v>24</v>
      </c>
      <c r="F44" s="5" t="s">
        <v>30</v>
      </c>
      <c r="G44" s="5">
        <v>900</v>
      </c>
      <c r="H44" s="25">
        <v>7.1</v>
      </c>
      <c r="I44" s="5">
        <v>4.8</v>
      </c>
      <c r="J44" s="15" t="s">
        <v>17</v>
      </c>
      <c r="K44" s="5" t="str">
        <f>VLOOKUP(E:E,'2. Productos'!$C$3:$F$8,2,FALSE)</f>
        <v>Cacao en grano</v>
      </c>
      <c r="L44" s="5" t="str">
        <f>VLOOKUP(E:E,'2. Productos'!$C$3:$E$8,3,FALSE)</f>
        <v>Cacao</v>
      </c>
      <c r="M44" s="5" t="str">
        <f>VLOOKUP(F:F,'3. Mercados'!$C$3:$F$9,2,FALSE)</f>
        <v>Norteamérica</v>
      </c>
      <c r="N44" s="16">
        <f>VLOOKUP(F:F,'3. Mercados'!$C$3:$F$9,3,FALSE)</f>
        <v>0.08</v>
      </c>
      <c r="O44" s="5" t="str">
        <f>VLOOKUP(F:F,'3. Mercados'!$C$3:$F$9,4,FALSE)</f>
        <v>Potencial</v>
      </c>
      <c r="P44" s="25">
        <f>Tabla1[[#This Row],[Unidades]]*Tabla1[[#This Row],[Precio FOB]]</f>
        <v>6390</v>
      </c>
      <c r="Q44" s="35">
        <f>Tabla1[[#This Row],[Unidades]]*Tabla1[[#This Row],[Costo Unitario]]</f>
        <v>4320</v>
      </c>
      <c r="R44" s="25">
        <f>Tabla1[[#This Row],[Valor FOB (Free On Board)]]-Tabla1[[#This Row],[Costo total]]</f>
        <v>2070</v>
      </c>
      <c r="S44" s="16">
        <f>Tabla1[[#This Row],[Utilidad]]/Tabla1[[#This Row],[Valor FOB (Free On Board)]]</f>
        <v>0.323943661971831</v>
      </c>
      <c r="T44" s="25" t="str">
        <f>IF(Tabla1[[#This Row],[Margen]]&gt;=30%,"Alta",IF(Tabla1[[#This Row],[Margen]]&gt;=15%,"Media","Baja"))</f>
        <v>Alta</v>
      </c>
      <c r="U44" s="25" t="str">
        <f>IF(Tabla1[[#This Row],[Valor FOB (Free On Board)]]&gt;=10000,"Grande",IF(Tabla1[[#This Row],[Valor FOB (Free On Board)]]&gt;=5000,"Mediana","Pequeña"))</f>
        <v>Mediana</v>
      </c>
      <c r="V4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45" spans="2:22" x14ac:dyDescent="0.3">
      <c r="B45" s="14" t="s">
        <v>91</v>
      </c>
      <c r="C45" s="7">
        <v>46364</v>
      </c>
      <c r="D45" s="5" t="s">
        <v>14</v>
      </c>
      <c r="E45" s="5" t="s">
        <v>15</v>
      </c>
      <c r="F45" s="5" t="s">
        <v>16</v>
      </c>
      <c r="G45" s="5">
        <v>1400</v>
      </c>
      <c r="H45" s="25">
        <v>6.5</v>
      </c>
      <c r="I45" s="5">
        <v>4.0999999999999996</v>
      </c>
      <c r="J45" s="15" t="s">
        <v>12</v>
      </c>
      <c r="K45" s="5" t="str">
        <f>VLOOKUP(E:E,'2. Productos'!$C$3:$F$8,2,FALSE)</f>
        <v>Café especial</v>
      </c>
      <c r="L45" s="5" t="str">
        <f>VLOOKUP(E:E,'2. Productos'!$C$3:$E$8,3,FALSE)</f>
        <v>Café</v>
      </c>
      <c r="M45" s="5" t="str">
        <f>VLOOKUP(F:F,'3. Mercados'!$C$3:$F$9,2,FALSE)</f>
        <v>Norteamérica</v>
      </c>
      <c r="N45" s="16">
        <f>VLOOKUP(F:F,'3. Mercados'!$C$3:$F$9,3,FALSE)</f>
        <v>0.05</v>
      </c>
      <c r="O45" s="5" t="str">
        <f>VLOOKUP(F:F,'3. Mercados'!$C$3:$F$9,4,FALSE)</f>
        <v>Estratégico</v>
      </c>
      <c r="P45" s="25">
        <f>Tabla1[[#This Row],[Unidades]]*Tabla1[[#This Row],[Precio FOB]]</f>
        <v>9100</v>
      </c>
      <c r="Q45" s="35">
        <f>Tabla1[[#This Row],[Unidades]]*Tabla1[[#This Row],[Costo Unitario]]</f>
        <v>5739.9999999999991</v>
      </c>
      <c r="R45" s="25">
        <f>Tabla1[[#This Row],[Valor FOB (Free On Board)]]-Tabla1[[#This Row],[Costo total]]</f>
        <v>3360.0000000000009</v>
      </c>
      <c r="S45" s="16">
        <f>Tabla1[[#This Row],[Utilidad]]/Tabla1[[#This Row],[Valor FOB (Free On Board)]]</f>
        <v>0.36923076923076931</v>
      </c>
      <c r="T45" s="25" t="str">
        <f>IF(Tabla1[[#This Row],[Margen]]&gt;=30%,"Alta",IF(Tabla1[[#This Row],[Margen]]&gt;=15%,"Media","Baja"))</f>
        <v>Alta</v>
      </c>
      <c r="U45" s="25" t="str">
        <f>IF(Tabla1[[#This Row],[Valor FOB (Free On Board)]]&gt;=10000,"Grande",IF(Tabla1[[#This Row],[Valor FOB (Free On Board)]]&gt;=5000,"Mediana","Pequeña"))</f>
        <v>Mediana</v>
      </c>
      <c r="V4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46" spans="2:22" x14ac:dyDescent="0.3">
      <c r="B46" s="14" t="s">
        <v>92</v>
      </c>
      <c r="C46" s="7">
        <v>46371</v>
      </c>
      <c r="D46" s="5" t="s">
        <v>9</v>
      </c>
      <c r="E46" s="5" t="s">
        <v>20</v>
      </c>
      <c r="F46" s="5" t="s">
        <v>11</v>
      </c>
      <c r="G46" s="5">
        <v>800</v>
      </c>
      <c r="H46" s="25">
        <v>8.1999999999999993</v>
      </c>
      <c r="I46" s="5">
        <v>5.9</v>
      </c>
      <c r="J46" s="15" t="s">
        <v>17</v>
      </c>
      <c r="K46" s="5" t="str">
        <f>VLOOKUP(E:E,'2. Productos'!$C$3:$F$8,2,FALSE)</f>
        <v>Maní procesado</v>
      </c>
      <c r="L46" s="5" t="str">
        <f>VLOOKUP(E:E,'2. Productos'!$C$3:$E$8,3,FALSE)</f>
        <v>Semillas</v>
      </c>
      <c r="M46" s="5" t="str">
        <f>VLOOKUP(F:F,'3. Mercados'!$C$3:$F$9,2,FALSE)</f>
        <v>Centroamérica</v>
      </c>
      <c r="N46" s="16">
        <f>VLOOKUP(F:F,'3. Mercados'!$C$3:$F$9,3,FALSE)</f>
        <v>0.03</v>
      </c>
      <c r="O46" s="5" t="str">
        <f>VLOOKUP(F:F,'3. Mercados'!$C$3:$F$9,4,FALSE)</f>
        <v>Estratégico</v>
      </c>
      <c r="P46" s="25">
        <f>Tabla1[[#This Row],[Unidades]]*Tabla1[[#This Row],[Precio FOB]]</f>
        <v>6559.9999999999991</v>
      </c>
      <c r="Q46" s="35">
        <f>Tabla1[[#This Row],[Unidades]]*Tabla1[[#This Row],[Costo Unitario]]</f>
        <v>4720</v>
      </c>
      <c r="R46" s="25">
        <f>Tabla1[[#This Row],[Valor FOB (Free On Board)]]-Tabla1[[#This Row],[Costo total]]</f>
        <v>1839.9999999999991</v>
      </c>
      <c r="S46" s="16">
        <f>Tabla1[[#This Row],[Utilidad]]/Tabla1[[#This Row],[Valor FOB (Free On Board)]]</f>
        <v>0.2804878048780487</v>
      </c>
      <c r="T46" s="25" t="str">
        <f>IF(Tabla1[[#This Row],[Margen]]&gt;=30%,"Alta",IF(Tabla1[[#This Row],[Margen]]&gt;=15%,"Media","Baja"))</f>
        <v>Media</v>
      </c>
      <c r="U46" s="25" t="str">
        <f>IF(Tabla1[[#This Row],[Valor FOB (Free On Board)]]&gt;=10000,"Grande",IF(Tabla1[[#This Row],[Valor FOB (Free On Board)]]&gt;=5000,"Mediana","Pequeña"))</f>
        <v>Mediana</v>
      </c>
      <c r="V4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47" spans="2:22" x14ac:dyDescent="0.3">
      <c r="B47" s="14" t="s">
        <v>93</v>
      </c>
      <c r="C47" s="7">
        <v>46378</v>
      </c>
      <c r="D47" s="5" t="s">
        <v>19</v>
      </c>
      <c r="E47" s="5" t="s">
        <v>10</v>
      </c>
      <c r="F47" s="5" t="s">
        <v>21</v>
      </c>
      <c r="G47" s="5">
        <v>1000</v>
      </c>
      <c r="H47" s="25">
        <v>4.8</v>
      </c>
      <c r="I47" s="5">
        <v>3.2</v>
      </c>
      <c r="J47" s="15" t="s">
        <v>17</v>
      </c>
      <c r="K47" s="5" t="str">
        <f>VLOOKUP(E:E,'2. Productos'!$C$3:$F$8,2,FALSE)</f>
        <v>Miel natural</v>
      </c>
      <c r="L47" s="5" t="str">
        <f>VLOOKUP(E:E,'2. Productos'!$C$3:$E$8,3,FALSE)</f>
        <v>Apícola</v>
      </c>
      <c r="M47" s="5" t="str">
        <f>VLOOKUP(F:F,'3. Mercados'!$C$3:$F$9,2,FALSE)</f>
        <v>Centroamérica</v>
      </c>
      <c r="N47" s="16">
        <f>VLOOKUP(F:F,'3. Mercados'!$C$3:$F$9,3,FALSE)</f>
        <v>0.02</v>
      </c>
      <c r="O47" s="5" t="str">
        <f>VLOOKUP(F:F,'3. Mercados'!$C$3:$F$9,4,FALSE)</f>
        <v>Estratégico</v>
      </c>
      <c r="P47" s="25">
        <f>Tabla1[[#This Row],[Unidades]]*Tabla1[[#This Row],[Precio FOB]]</f>
        <v>4800</v>
      </c>
      <c r="Q47" s="35">
        <f>Tabla1[[#This Row],[Unidades]]*Tabla1[[#This Row],[Costo Unitario]]</f>
        <v>3200</v>
      </c>
      <c r="R47" s="25">
        <f>Tabla1[[#This Row],[Valor FOB (Free On Board)]]-Tabla1[[#This Row],[Costo total]]</f>
        <v>1600</v>
      </c>
      <c r="S47" s="16">
        <f>Tabla1[[#This Row],[Utilidad]]/Tabla1[[#This Row],[Valor FOB (Free On Board)]]</f>
        <v>0.33333333333333331</v>
      </c>
      <c r="T47" s="25" t="str">
        <f>IF(Tabla1[[#This Row],[Margen]]&gt;=30%,"Alta",IF(Tabla1[[#This Row],[Margen]]&gt;=15%,"Media","Baja"))</f>
        <v>Alta</v>
      </c>
      <c r="U47" s="25" t="str">
        <f>IF(Tabla1[[#This Row],[Valor FOB (Free On Board)]]&gt;=10000,"Grande",IF(Tabla1[[#This Row],[Valor FOB (Free On Board)]]&gt;=5000,"Mediana","Pequeña"))</f>
        <v>Pequeña</v>
      </c>
      <c r="V4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48" spans="2:22" x14ac:dyDescent="0.3">
      <c r="B48" s="14" t="s">
        <v>94</v>
      </c>
      <c r="C48" s="7">
        <v>46384</v>
      </c>
      <c r="D48" s="5" t="s">
        <v>23</v>
      </c>
      <c r="E48" s="5" t="s">
        <v>29</v>
      </c>
      <c r="F48" s="5" t="s">
        <v>25</v>
      </c>
      <c r="G48" s="5">
        <v>650</v>
      </c>
      <c r="H48" s="25">
        <v>12.5</v>
      </c>
      <c r="I48" s="5">
        <v>8.6999999999999993</v>
      </c>
      <c r="J48" s="15" t="s">
        <v>12</v>
      </c>
      <c r="K48" s="5" t="str">
        <f>VLOOKUP(E:E,'2. Productos'!$C$3:$F$8,2,FALSE)</f>
        <v>Aceite de ajonjolí</v>
      </c>
      <c r="L48" s="5" t="str">
        <f>VLOOKUP(E:E,'2. Productos'!$C$3:$E$8,3,FALSE)</f>
        <v>Aceites</v>
      </c>
      <c r="M48" s="5" t="str">
        <f>VLOOKUP(F:F,'3. Mercados'!$C$3:$F$9,2,FALSE)</f>
        <v>Europa</v>
      </c>
      <c r="N48" s="16">
        <f>VLOOKUP(F:F,'3. Mercados'!$C$3:$F$9,3,FALSE)</f>
        <v>0.1</v>
      </c>
      <c r="O48" s="5" t="str">
        <f>VLOOKUP(F:F,'3. Mercados'!$C$3:$F$9,4,FALSE)</f>
        <v>Potencial</v>
      </c>
      <c r="P48" s="25">
        <f>Tabla1[[#This Row],[Unidades]]*Tabla1[[#This Row],[Precio FOB]]</f>
        <v>8125</v>
      </c>
      <c r="Q48" s="35">
        <f>Tabla1[[#This Row],[Unidades]]*Tabla1[[#This Row],[Costo Unitario]]</f>
        <v>5654.9999999999991</v>
      </c>
      <c r="R48" s="25">
        <f>Tabla1[[#This Row],[Valor FOB (Free On Board)]]-Tabla1[[#This Row],[Costo total]]</f>
        <v>2470.0000000000009</v>
      </c>
      <c r="S48" s="16">
        <f>Tabla1[[#This Row],[Utilidad]]/Tabla1[[#This Row],[Valor FOB (Free On Board)]]</f>
        <v>0.3040000000000001</v>
      </c>
      <c r="T48" s="25" t="str">
        <f>IF(Tabla1[[#This Row],[Margen]]&gt;=30%,"Alta",IF(Tabla1[[#This Row],[Margen]]&gt;=15%,"Media","Baja"))</f>
        <v>Alta</v>
      </c>
      <c r="U48" s="25" t="str">
        <f>IF(Tabla1[[#This Row],[Valor FOB (Free On Board)]]&gt;=10000,"Grande",IF(Tabla1[[#This Row],[Valor FOB (Free On Board)]]&gt;=5000,"Mediana","Pequeña"))</f>
        <v>Mediana</v>
      </c>
      <c r="V4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49" spans="2:22" x14ac:dyDescent="0.3">
      <c r="B49" s="14" t="s">
        <v>95</v>
      </c>
      <c r="C49" s="7">
        <v>46026</v>
      </c>
      <c r="D49" s="5" t="s">
        <v>28</v>
      </c>
      <c r="E49" s="5" t="s">
        <v>15</v>
      </c>
      <c r="F49" s="5" t="s">
        <v>30</v>
      </c>
      <c r="G49" s="5">
        <v>780</v>
      </c>
      <c r="H49" s="25">
        <v>6.5</v>
      </c>
      <c r="I49" s="5">
        <v>4.0999999999999996</v>
      </c>
      <c r="J49" s="15" t="s">
        <v>17</v>
      </c>
      <c r="K49" s="5" t="str">
        <f>VLOOKUP(E:E,'2. Productos'!$C$3:$F$8,2,FALSE)</f>
        <v>Café especial</v>
      </c>
      <c r="L49" s="5" t="str">
        <f>VLOOKUP(E:E,'2. Productos'!$C$3:$E$8,3,FALSE)</f>
        <v>Café</v>
      </c>
      <c r="M49" s="5" t="str">
        <f>VLOOKUP(F:F,'3. Mercados'!$C$3:$F$9,2,FALSE)</f>
        <v>Norteamérica</v>
      </c>
      <c r="N49" s="16">
        <f>VLOOKUP(F:F,'3. Mercados'!$C$3:$F$9,3,FALSE)</f>
        <v>0.08</v>
      </c>
      <c r="O49" s="5" t="str">
        <f>VLOOKUP(F:F,'3. Mercados'!$C$3:$F$9,4,FALSE)</f>
        <v>Potencial</v>
      </c>
      <c r="P49" s="25">
        <f>Tabla1[[#This Row],[Unidades]]*Tabla1[[#This Row],[Precio FOB]]</f>
        <v>5070</v>
      </c>
      <c r="Q49" s="35">
        <f>Tabla1[[#This Row],[Unidades]]*Tabla1[[#This Row],[Costo Unitario]]</f>
        <v>3197.9999999999995</v>
      </c>
      <c r="R49" s="25">
        <f>Tabla1[[#This Row],[Valor FOB (Free On Board)]]-Tabla1[[#This Row],[Costo total]]</f>
        <v>1872.0000000000005</v>
      </c>
      <c r="S49" s="16">
        <f>Tabla1[[#This Row],[Utilidad]]/Tabla1[[#This Row],[Valor FOB (Free On Board)]]</f>
        <v>0.36923076923076931</v>
      </c>
      <c r="T49" s="25" t="str">
        <f>IF(Tabla1[[#This Row],[Margen]]&gt;=30%,"Alta",IF(Tabla1[[#This Row],[Margen]]&gt;=15%,"Media","Baja"))</f>
        <v>Alta</v>
      </c>
      <c r="U49" s="25" t="str">
        <f>IF(Tabla1[[#This Row],[Valor FOB (Free On Board)]]&gt;=10000,"Grande",IF(Tabla1[[#This Row],[Valor FOB (Free On Board)]]&gt;=5000,"Mediana","Pequeña"))</f>
        <v>Mediana</v>
      </c>
      <c r="V4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50" spans="2:22" x14ac:dyDescent="0.3">
      <c r="B50" s="14" t="s">
        <v>96</v>
      </c>
      <c r="C50" s="7">
        <v>46033</v>
      </c>
      <c r="D50" s="5" t="s">
        <v>14</v>
      </c>
      <c r="E50" s="5" t="s">
        <v>24</v>
      </c>
      <c r="F50" s="5" t="s">
        <v>16</v>
      </c>
      <c r="G50" s="5">
        <v>1180</v>
      </c>
      <c r="H50" s="25">
        <v>7.1</v>
      </c>
      <c r="I50" s="5">
        <v>4.8</v>
      </c>
      <c r="J50" s="15" t="s">
        <v>26</v>
      </c>
      <c r="K50" s="5" t="str">
        <f>VLOOKUP(E:E,'2. Productos'!$C$3:$F$8,2,FALSE)</f>
        <v>Cacao en grano</v>
      </c>
      <c r="L50" s="5" t="str">
        <f>VLOOKUP(E:E,'2. Productos'!$C$3:$E$8,3,FALSE)</f>
        <v>Cacao</v>
      </c>
      <c r="M50" s="5" t="str">
        <f>VLOOKUP(F:F,'3. Mercados'!$C$3:$F$9,2,FALSE)</f>
        <v>Norteamérica</v>
      </c>
      <c r="N50" s="16">
        <f>VLOOKUP(F:F,'3. Mercados'!$C$3:$F$9,3,FALSE)</f>
        <v>0.05</v>
      </c>
      <c r="O50" s="5" t="str">
        <f>VLOOKUP(F:F,'3. Mercados'!$C$3:$F$9,4,FALSE)</f>
        <v>Estratégico</v>
      </c>
      <c r="P50" s="25">
        <f>Tabla1[[#This Row],[Unidades]]*Tabla1[[#This Row],[Precio FOB]]</f>
        <v>8378</v>
      </c>
      <c r="Q50" s="35">
        <f>Tabla1[[#This Row],[Unidades]]*Tabla1[[#This Row],[Costo Unitario]]</f>
        <v>5664</v>
      </c>
      <c r="R50" s="25">
        <f>Tabla1[[#This Row],[Valor FOB (Free On Board)]]-Tabla1[[#This Row],[Costo total]]</f>
        <v>2714</v>
      </c>
      <c r="S50" s="16">
        <f>Tabla1[[#This Row],[Utilidad]]/Tabla1[[#This Row],[Valor FOB (Free On Board)]]</f>
        <v>0.323943661971831</v>
      </c>
      <c r="T50" s="25" t="str">
        <f>IF(Tabla1[[#This Row],[Margen]]&gt;=30%,"Alta",IF(Tabla1[[#This Row],[Margen]]&gt;=15%,"Media","Baja"))</f>
        <v>Alta</v>
      </c>
      <c r="U50" s="25" t="str">
        <f>IF(Tabla1[[#This Row],[Valor FOB (Free On Board)]]&gt;=10000,"Grande",IF(Tabla1[[#This Row],[Valor FOB (Free On Board)]]&gt;=5000,"Mediana","Pequeña"))</f>
        <v>Mediana</v>
      </c>
      <c r="V5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51" spans="2:22" x14ac:dyDescent="0.3">
      <c r="B51" s="14" t="s">
        <v>97</v>
      </c>
      <c r="C51" s="7">
        <v>46040</v>
      </c>
      <c r="D51" s="5" t="s">
        <v>9</v>
      </c>
      <c r="E51" s="5" t="s">
        <v>10</v>
      </c>
      <c r="F51" s="5" t="s">
        <v>11</v>
      </c>
      <c r="G51" s="5">
        <v>920</v>
      </c>
      <c r="H51" s="25">
        <v>4.8</v>
      </c>
      <c r="I51" s="5">
        <v>3.2</v>
      </c>
      <c r="J51" s="15" t="s">
        <v>12</v>
      </c>
      <c r="K51" s="5" t="str">
        <f>VLOOKUP(E:E,'2. Productos'!$C$3:$F$8,2,FALSE)</f>
        <v>Miel natural</v>
      </c>
      <c r="L51" s="5" t="str">
        <f>VLOOKUP(E:E,'2. Productos'!$C$3:$E$8,3,FALSE)</f>
        <v>Apícola</v>
      </c>
      <c r="M51" s="5" t="str">
        <f>VLOOKUP(F:F,'3. Mercados'!$C$3:$F$9,2,FALSE)</f>
        <v>Centroamérica</v>
      </c>
      <c r="N51" s="16">
        <f>VLOOKUP(F:F,'3. Mercados'!$C$3:$F$9,3,FALSE)</f>
        <v>0.03</v>
      </c>
      <c r="O51" s="5" t="str">
        <f>VLOOKUP(F:F,'3. Mercados'!$C$3:$F$9,4,FALSE)</f>
        <v>Estratégico</v>
      </c>
      <c r="P51" s="25">
        <f>Tabla1[[#This Row],[Unidades]]*Tabla1[[#This Row],[Precio FOB]]</f>
        <v>4416</v>
      </c>
      <c r="Q51" s="35">
        <f>Tabla1[[#This Row],[Unidades]]*Tabla1[[#This Row],[Costo Unitario]]</f>
        <v>2944</v>
      </c>
      <c r="R51" s="25">
        <f>Tabla1[[#This Row],[Valor FOB (Free On Board)]]-Tabla1[[#This Row],[Costo total]]</f>
        <v>1472</v>
      </c>
      <c r="S51" s="16">
        <f>Tabla1[[#This Row],[Utilidad]]/Tabla1[[#This Row],[Valor FOB (Free On Board)]]</f>
        <v>0.33333333333333331</v>
      </c>
      <c r="T51" s="25" t="str">
        <f>IF(Tabla1[[#This Row],[Margen]]&gt;=30%,"Alta",IF(Tabla1[[#This Row],[Margen]]&gt;=15%,"Media","Baja"))</f>
        <v>Alta</v>
      </c>
      <c r="U51" s="25" t="str">
        <f>IF(Tabla1[[#This Row],[Valor FOB (Free On Board)]]&gt;=10000,"Grande",IF(Tabla1[[#This Row],[Valor FOB (Free On Board)]]&gt;=5000,"Mediana","Pequeña"))</f>
        <v>Pequeña</v>
      </c>
      <c r="V5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52" spans="2:22" x14ac:dyDescent="0.3">
      <c r="B52" s="14" t="s">
        <v>98</v>
      </c>
      <c r="C52" s="7">
        <v>46048</v>
      </c>
      <c r="D52" s="5" t="s">
        <v>19</v>
      </c>
      <c r="E52" s="5" t="s">
        <v>20</v>
      </c>
      <c r="F52" s="5" t="s">
        <v>21</v>
      </c>
      <c r="G52" s="5">
        <v>680</v>
      </c>
      <c r="H52" s="25">
        <v>8.1999999999999993</v>
      </c>
      <c r="I52" s="5">
        <v>5.9</v>
      </c>
      <c r="J52" s="15" t="s">
        <v>17</v>
      </c>
      <c r="K52" s="5" t="str">
        <f>VLOOKUP(E:E,'2. Productos'!$C$3:$F$8,2,FALSE)</f>
        <v>Maní procesado</v>
      </c>
      <c r="L52" s="5" t="str">
        <f>VLOOKUP(E:E,'2. Productos'!$C$3:$E$8,3,FALSE)</f>
        <v>Semillas</v>
      </c>
      <c r="M52" s="5" t="str">
        <f>VLOOKUP(F:F,'3. Mercados'!$C$3:$F$9,2,FALSE)</f>
        <v>Centroamérica</v>
      </c>
      <c r="N52" s="16">
        <f>VLOOKUP(F:F,'3. Mercados'!$C$3:$F$9,3,FALSE)</f>
        <v>0.02</v>
      </c>
      <c r="O52" s="5" t="str">
        <f>VLOOKUP(F:F,'3. Mercados'!$C$3:$F$9,4,FALSE)</f>
        <v>Estratégico</v>
      </c>
      <c r="P52" s="25">
        <f>Tabla1[[#This Row],[Unidades]]*Tabla1[[#This Row],[Precio FOB]]</f>
        <v>5575.9999999999991</v>
      </c>
      <c r="Q52" s="35">
        <f>Tabla1[[#This Row],[Unidades]]*Tabla1[[#This Row],[Costo Unitario]]</f>
        <v>4012.0000000000005</v>
      </c>
      <c r="R52" s="25">
        <f>Tabla1[[#This Row],[Valor FOB (Free On Board)]]-Tabla1[[#This Row],[Costo total]]</f>
        <v>1563.9999999999986</v>
      </c>
      <c r="S52" s="16">
        <f>Tabla1[[#This Row],[Utilidad]]/Tabla1[[#This Row],[Valor FOB (Free On Board)]]</f>
        <v>0.28048780487804859</v>
      </c>
      <c r="T52" s="25" t="str">
        <f>IF(Tabla1[[#This Row],[Margen]]&gt;=30%,"Alta",IF(Tabla1[[#This Row],[Margen]]&gt;=15%,"Media","Baja"))</f>
        <v>Media</v>
      </c>
      <c r="U52" s="25" t="str">
        <f>IF(Tabla1[[#This Row],[Valor FOB (Free On Board)]]&gt;=10000,"Grande",IF(Tabla1[[#This Row],[Valor FOB (Free On Board)]]&gt;=5000,"Mediana","Pequeña"))</f>
        <v>Mediana</v>
      </c>
      <c r="V5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53" spans="2:22" x14ac:dyDescent="0.3">
      <c r="B53" s="14" t="s">
        <v>99</v>
      </c>
      <c r="C53" s="7">
        <v>46057</v>
      </c>
      <c r="D53" s="5" t="s">
        <v>23</v>
      </c>
      <c r="E53" s="5" t="s">
        <v>15</v>
      </c>
      <c r="F53" s="5" t="s">
        <v>25</v>
      </c>
      <c r="G53" s="5">
        <v>1080</v>
      </c>
      <c r="H53" s="25">
        <v>6.5</v>
      </c>
      <c r="I53" s="5">
        <v>4.0999999999999996</v>
      </c>
      <c r="J53" s="15" t="s">
        <v>12</v>
      </c>
      <c r="K53" s="5" t="str">
        <f>VLOOKUP(E:E,'2. Productos'!$C$3:$F$8,2,FALSE)</f>
        <v>Café especial</v>
      </c>
      <c r="L53" s="5" t="str">
        <f>VLOOKUP(E:E,'2. Productos'!$C$3:$E$8,3,FALSE)</f>
        <v>Café</v>
      </c>
      <c r="M53" s="5" t="str">
        <f>VLOOKUP(F:F,'3. Mercados'!$C$3:$F$9,2,FALSE)</f>
        <v>Europa</v>
      </c>
      <c r="N53" s="16">
        <f>VLOOKUP(F:F,'3. Mercados'!$C$3:$F$9,3,FALSE)</f>
        <v>0.1</v>
      </c>
      <c r="O53" s="5" t="str">
        <f>VLOOKUP(F:F,'3. Mercados'!$C$3:$F$9,4,FALSE)</f>
        <v>Potencial</v>
      </c>
      <c r="P53" s="25">
        <f>Tabla1[[#This Row],[Unidades]]*Tabla1[[#This Row],[Precio FOB]]</f>
        <v>7020</v>
      </c>
      <c r="Q53" s="35">
        <f>Tabla1[[#This Row],[Unidades]]*Tabla1[[#This Row],[Costo Unitario]]</f>
        <v>4428</v>
      </c>
      <c r="R53" s="25">
        <f>Tabla1[[#This Row],[Valor FOB (Free On Board)]]-Tabla1[[#This Row],[Costo total]]</f>
        <v>2592</v>
      </c>
      <c r="S53" s="16">
        <f>Tabla1[[#This Row],[Utilidad]]/Tabla1[[#This Row],[Valor FOB (Free On Board)]]</f>
        <v>0.36923076923076925</v>
      </c>
      <c r="T53" s="25" t="str">
        <f>IF(Tabla1[[#This Row],[Margen]]&gt;=30%,"Alta",IF(Tabla1[[#This Row],[Margen]]&gt;=15%,"Media","Baja"))</f>
        <v>Alta</v>
      </c>
      <c r="U53" s="25" t="str">
        <f>IF(Tabla1[[#This Row],[Valor FOB (Free On Board)]]&gt;=10000,"Grande",IF(Tabla1[[#This Row],[Valor FOB (Free On Board)]]&gt;=5000,"Mediana","Pequeña"))</f>
        <v>Mediana</v>
      </c>
      <c r="V5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54" spans="2:22" x14ac:dyDescent="0.3">
      <c r="B54" s="14" t="s">
        <v>100</v>
      </c>
      <c r="C54" s="7">
        <v>46065</v>
      </c>
      <c r="D54" s="5" t="s">
        <v>28</v>
      </c>
      <c r="E54" s="5" t="s">
        <v>29</v>
      </c>
      <c r="F54" s="5" t="s">
        <v>30</v>
      </c>
      <c r="G54" s="5">
        <v>520</v>
      </c>
      <c r="H54" s="25">
        <v>12.5</v>
      </c>
      <c r="I54" s="5">
        <v>8.6999999999999993</v>
      </c>
      <c r="J54" s="15" t="s">
        <v>17</v>
      </c>
      <c r="K54" s="5" t="str">
        <f>VLOOKUP(E:E,'2. Productos'!$C$3:$F$8,2,FALSE)</f>
        <v>Aceite de ajonjolí</v>
      </c>
      <c r="L54" s="5" t="str">
        <f>VLOOKUP(E:E,'2. Productos'!$C$3:$E$8,3,FALSE)</f>
        <v>Aceites</v>
      </c>
      <c r="M54" s="5" t="str">
        <f>VLOOKUP(F:F,'3. Mercados'!$C$3:$F$9,2,FALSE)</f>
        <v>Norteamérica</v>
      </c>
      <c r="N54" s="16">
        <f>VLOOKUP(F:F,'3. Mercados'!$C$3:$F$9,3,FALSE)</f>
        <v>0.08</v>
      </c>
      <c r="O54" s="5" t="str">
        <f>VLOOKUP(F:F,'3. Mercados'!$C$3:$F$9,4,FALSE)</f>
        <v>Potencial</v>
      </c>
      <c r="P54" s="25">
        <f>Tabla1[[#This Row],[Unidades]]*Tabla1[[#This Row],[Precio FOB]]</f>
        <v>6500</v>
      </c>
      <c r="Q54" s="35">
        <f>Tabla1[[#This Row],[Unidades]]*Tabla1[[#This Row],[Costo Unitario]]</f>
        <v>4524</v>
      </c>
      <c r="R54" s="25">
        <f>Tabla1[[#This Row],[Valor FOB (Free On Board)]]-Tabla1[[#This Row],[Costo total]]</f>
        <v>1976</v>
      </c>
      <c r="S54" s="16">
        <f>Tabla1[[#This Row],[Utilidad]]/Tabla1[[#This Row],[Valor FOB (Free On Board)]]</f>
        <v>0.30399999999999999</v>
      </c>
      <c r="T54" s="25" t="str">
        <f>IF(Tabla1[[#This Row],[Margen]]&gt;=30%,"Alta",IF(Tabla1[[#This Row],[Margen]]&gt;=15%,"Media","Baja"))</f>
        <v>Alta</v>
      </c>
      <c r="U54" s="25" t="str">
        <f>IF(Tabla1[[#This Row],[Valor FOB (Free On Board)]]&gt;=10000,"Grande",IF(Tabla1[[#This Row],[Valor FOB (Free On Board)]]&gt;=5000,"Mediana","Pequeña"))</f>
        <v>Mediana</v>
      </c>
      <c r="V5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55" spans="2:22" x14ac:dyDescent="0.3">
      <c r="B55" s="14" t="s">
        <v>101</v>
      </c>
      <c r="C55" s="7">
        <v>46074</v>
      </c>
      <c r="D55" s="5" t="s">
        <v>14</v>
      </c>
      <c r="E55" s="5" t="s">
        <v>10</v>
      </c>
      <c r="F55" s="5" t="s">
        <v>16</v>
      </c>
      <c r="G55" s="5">
        <v>1450</v>
      </c>
      <c r="H55" s="25">
        <v>4.8</v>
      </c>
      <c r="I55" s="5">
        <v>3.2</v>
      </c>
      <c r="J55" s="15" t="s">
        <v>17</v>
      </c>
      <c r="K55" s="5" t="str">
        <f>VLOOKUP(E:E,'2. Productos'!$C$3:$F$8,2,FALSE)</f>
        <v>Miel natural</v>
      </c>
      <c r="L55" s="5" t="str">
        <f>VLOOKUP(E:E,'2. Productos'!$C$3:$E$8,3,FALSE)</f>
        <v>Apícola</v>
      </c>
      <c r="M55" s="5" t="str">
        <f>VLOOKUP(F:F,'3. Mercados'!$C$3:$F$9,2,FALSE)</f>
        <v>Norteamérica</v>
      </c>
      <c r="N55" s="16">
        <f>VLOOKUP(F:F,'3. Mercados'!$C$3:$F$9,3,FALSE)</f>
        <v>0.05</v>
      </c>
      <c r="O55" s="5" t="str">
        <f>VLOOKUP(F:F,'3. Mercados'!$C$3:$F$9,4,FALSE)</f>
        <v>Estratégico</v>
      </c>
      <c r="P55" s="25">
        <f>Tabla1[[#This Row],[Unidades]]*Tabla1[[#This Row],[Precio FOB]]</f>
        <v>6960</v>
      </c>
      <c r="Q55" s="35">
        <f>Tabla1[[#This Row],[Unidades]]*Tabla1[[#This Row],[Costo Unitario]]</f>
        <v>4640</v>
      </c>
      <c r="R55" s="25">
        <f>Tabla1[[#This Row],[Valor FOB (Free On Board)]]-Tabla1[[#This Row],[Costo total]]</f>
        <v>2320</v>
      </c>
      <c r="S55" s="16">
        <f>Tabla1[[#This Row],[Utilidad]]/Tabla1[[#This Row],[Valor FOB (Free On Board)]]</f>
        <v>0.33333333333333331</v>
      </c>
      <c r="T55" s="25" t="str">
        <f>IF(Tabla1[[#This Row],[Margen]]&gt;=30%,"Alta",IF(Tabla1[[#This Row],[Margen]]&gt;=15%,"Media","Baja"))</f>
        <v>Alta</v>
      </c>
      <c r="U55" s="25" t="str">
        <f>IF(Tabla1[[#This Row],[Valor FOB (Free On Board)]]&gt;=10000,"Grande",IF(Tabla1[[#This Row],[Valor FOB (Free On Board)]]&gt;=5000,"Mediana","Pequeña"))</f>
        <v>Mediana</v>
      </c>
      <c r="V5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56" spans="2:22" x14ac:dyDescent="0.3">
      <c r="B56" s="14" t="s">
        <v>102</v>
      </c>
      <c r="C56" s="7">
        <v>46082</v>
      </c>
      <c r="D56" s="5" t="s">
        <v>9</v>
      </c>
      <c r="E56" s="5" t="s">
        <v>24</v>
      </c>
      <c r="F56" s="5" t="s">
        <v>11</v>
      </c>
      <c r="G56" s="5">
        <v>880</v>
      </c>
      <c r="H56" s="25">
        <v>7.1</v>
      </c>
      <c r="I56" s="5">
        <v>4.8</v>
      </c>
      <c r="J56" s="15" t="s">
        <v>26</v>
      </c>
      <c r="K56" s="5" t="str">
        <f>VLOOKUP(E:E,'2. Productos'!$C$3:$F$8,2,FALSE)</f>
        <v>Cacao en grano</v>
      </c>
      <c r="L56" s="5" t="str">
        <f>VLOOKUP(E:E,'2. Productos'!$C$3:$E$8,3,FALSE)</f>
        <v>Cacao</v>
      </c>
      <c r="M56" s="5" t="str">
        <f>VLOOKUP(F:F,'3. Mercados'!$C$3:$F$9,2,FALSE)</f>
        <v>Centroamérica</v>
      </c>
      <c r="N56" s="16">
        <f>VLOOKUP(F:F,'3. Mercados'!$C$3:$F$9,3,FALSE)</f>
        <v>0.03</v>
      </c>
      <c r="O56" s="5" t="str">
        <f>VLOOKUP(F:F,'3. Mercados'!$C$3:$F$9,4,FALSE)</f>
        <v>Estratégico</v>
      </c>
      <c r="P56" s="25">
        <f>Tabla1[[#This Row],[Unidades]]*Tabla1[[#This Row],[Precio FOB]]</f>
        <v>6248</v>
      </c>
      <c r="Q56" s="35">
        <f>Tabla1[[#This Row],[Unidades]]*Tabla1[[#This Row],[Costo Unitario]]</f>
        <v>4224</v>
      </c>
      <c r="R56" s="25">
        <f>Tabla1[[#This Row],[Valor FOB (Free On Board)]]-Tabla1[[#This Row],[Costo total]]</f>
        <v>2024</v>
      </c>
      <c r="S56" s="16">
        <f>Tabla1[[#This Row],[Utilidad]]/Tabla1[[#This Row],[Valor FOB (Free On Board)]]</f>
        <v>0.323943661971831</v>
      </c>
      <c r="T56" s="25" t="str">
        <f>IF(Tabla1[[#This Row],[Margen]]&gt;=30%,"Alta",IF(Tabla1[[#This Row],[Margen]]&gt;=15%,"Media","Baja"))</f>
        <v>Alta</v>
      </c>
      <c r="U56" s="25" t="str">
        <f>IF(Tabla1[[#This Row],[Valor FOB (Free On Board)]]&gt;=10000,"Grande",IF(Tabla1[[#This Row],[Valor FOB (Free On Board)]]&gt;=5000,"Mediana","Pequeña"))</f>
        <v>Mediana</v>
      </c>
      <c r="V5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57" spans="2:22" x14ac:dyDescent="0.3">
      <c r="B57" s="14" t="s">
        <v>103</v>
      </c>
      <c r="C57" s="7">
        <v>46091</v>
      </c>
      <c r="D57" s="5" t="s">
        <v>19</v>
      </c>
      <c r="E57" s="5" t="s">
        <v>15</v>
      </c>
      <c r="F57" s="5" t="s">
        <v>21</v>
      </c>
      <c r="G57" s="5">
        <v>970</v>
      </c>
      <c r="H57" s="25">
        <v>6.5</v>
      </c>
      <c r="I57" s="5">
        <v>4.0999999999999996</v>
      </c>
      <c r="J57" s="15" t="s">
        <v>12</v>
      </c>
      <c r="K57" s="5" t="str">
        <f>VLOOKUP(E:E,'2. Productos'!$C$3:$F$8,2,FALSE)</f>
        <v>Café especial</v>
      </c>
      <c r="L57" s="5" t="str">
        <f>VLOOKUP(E:E,'2. Productos'!$C$3:$E$8,3,FALSE)</f>
        <v>Café</v>
      </c>
      <c r="M57" s="5" t="str">
        <f>VLOOKUP(F:F,'3. Mercados'!$C$3:$F$9,2,FALSE)</f>
        <v>Centroamérica</v>
      </c>
      <c r="N57" s="16">
        <f>VLOOKUP(F:F,'3. Mercados'!$C$3:$F$9,3,FALSE)</f>
        <v>0.02</v>
      </c>
      <c r="O57" s="5" t="str">
        <f>VLOOKUP(F:F,'3. Mercados'!$C$3:$F$9,4,FALSE)</f>
        <v>Estratégico</v>
      </c>
      <c r="P57" s="25">
        <f>Tabla1[[#This Row],[Unidades]]*Tabla1[[#This Row],[Precio FOB]]</f>
        <v>6305</v>
      </c>
      <c r="Q57" s="35">
        <f>Tabla1[[#This Row],[Unidades]]*Tabla1[[#This Row],[Costo Unitario]]</f>
        <v>3976.9999999999995</v>
      </c>
      <c r="R57" s="25">
        <f>Tabla1[[#This Row],[Valor FOB (Free On Board)]]-Tabla1[[#This Row],[Costo total]]</f>
        <v>2328.0000000000005</v>
      </c>
      <c r="S57" s="16">
        <f>Tabla1[[#This Row],[Utilidad]]/Tabla1[[#This Row],[Valor FOB (Free On Board)]]</f>
        <v>0.36923076923076931</v>
      </c>
      <c r="T57" s="25" t="str">
        <f>IF(Tabla1[[#This Row],[Margen]]&gt;=30%,"Alta",IF(Tabla1[[#This Row],[Margen]]&gt;=15%,"Media","Baja"))</f>
        <v>Alta</v>
      </c>
      <c r="U57" s="25" t="str">
        <f>IF(Tabla1[[#This Row],[Valor FOB (Free On Board)]]&gt;=10000,"Grande",IF(Tabla1[[#This Row],[Valor FOB (Free On Board)]]&gt;=5000,"Mediana","Pequeña"))</f>
        <v>Mediana</v>
      </c>
      <c r="V5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58" spans="2:22" x14ac:dyDescent="0.3">
      <c r="B58" s="14" t="s">
        <v>104</v>
      </c>
      <c r="C58" s="7">
        <v>46100</v>
      </c>
      <c r="D58" s="5" t="s">
        <v>23</v>
      </c>
      <c r="E58" s="5" t="s">
        <v>20</v>
      </c>
      <c r="F58" s="5" t="s">
        <v>25</v>
      </c>
      <c r="G58" s="5">
        <v>760</v>
      </c>
      <c r="H58" s="25">
        <v>8.1999999999999993</v>
      </c>
      <c r="I58" s="5">
        <v>5.9</v>
      </c>
      <c r="J58" s="15" t="s">
        <v>17</v>
      </c>
      <c r="K58" s="5" t="str">
        <f>VLOOKUP(E:E,'2. Productos'!$C$3:$F$8,2,FALSE)</f>
        <v>Maní procesado</v>
      </c>
      <c r="L58" s="5" t="str">
        <f>VLOOKUP(E:E,'2. Productos'!$C$3:$E$8,3,FALSE)</f>
        <v>Semillas</v>
      </c>
      <c r="M58" s="5" t="str">
        <f>VLOOKUP(F:F,'3. Mercados'!$C$3:$F$9,2,FALSE)</f>
        <v>Europa</v>
      </c>
      <c r="N58" s="16">
        <f>VLOOKUP(F:F,'3. Mercados'!$C$3:$F$9,3,FALSE)</f>
        <v>0.1</v>
      </c>
      <c r="O58" s="5" t="str">
        <f>VLOOKUP(F:F,'3. Mercados'!$C$3:$F$9,4,FALSE)</f>
        <v>Potencial</v>
      </c>
      <c r="P58" s="25">
        <f>Tabla1[[#This Row],[Unidades]]*Tabla1[[#This Row],[Precio FOB]]</f>
        <v>6231.9999999999991</v>
      </c>
      <c r="Q58" s="35">
        <f>Tabla1[[#This Row],[Unidades]]*Tabla1[[#This Row],[Costo Unitario]]</f>
        <v>4484</v>
      </c>
      <c r="R58" s="25">
        <f>Tabla1[[#This Row],[Valor FOB (Free On Board)]]-Tabla1[[#This Row],[Costo total]]</f>
        <v>1747.9999999999991</v>
      </c>
      <c r="S58" s="16">
        <f>Tabla1[[#This Row],[Utilidad]]/Tabla1[[#This Row],[Valor FOB (Free On Board)]]</f>
        <v>0.2804878048780487</v>
      </c>
      <c r="T58" s="25" t="str">
        <f>IF(Tabla1[[#This Row],[Margen]]&gt;=30%,"Alta",IF(Tabla1[[#This Row],[Margen]]&gt;=15%,"Media","Baja"))</f>
        <v>Media</v>
      </c>
      <c r="U58" s="25" t="str">
        <f>IF(Tabla1[[#This Row],[Valor FOB (Free On Board)]]&gt;=10000,"Grande",IF(Tabla1[[#This Row],[Valor FOB (Free On Board)]]&gt;=5000,"Mediana","Pequeña"))</f>
        <v>Mediana</v>
      </c>
      <c r="V5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Baja</v>
      </c>
    </row>
    <row r="59" spans="2:22" x14ac:dyDescent="0.3">
      <c r="B59" s="14" t="s">
        <v>105</v>
      </c>
      <c r="C59" s="7">
        <v>46109</v>
      </c>
      <c r="D59" s="5" t="s">
        <v>28</v>
      </c>
      <c r="E59" s="5" t="s">
        <v>10</v>
      </c>
      <c r="F59" s="5" t="s">
        <v>30</v>
      </c>
      <c r="G59" s="5">
        <v>620</v>
      </c>
      <c r="H59" s="25">
        <v>4.8</v>
      </c>
      <c r="I59" s="5">
        <v>3.2</v>
      </c>
      <c r="J59" s="15" t="s">
        <v>12</v>
      </c>
      <c r="K59" s="5" t="str">
        <f>VLOOKUP(E:E,'2. Productos'!$C$3:$F$8,2,FALSE)</f>
        <v>Miel natural</v>
      </c>
      <c r="L59" s="5" t="str">
        <f>VLOOKUP(E:E,'2. Productos'!$C$3:$E$8,3,FALSE)</f>
        <v>Apícola</v>
      </c>
      <c r="M59" s="5" t="str">
        <f>VLOOKUP(F:F,'3. Mercados'!$C$3:$F$9,2,FALSE)</f>
        <v>Norteamérica</v>
      </c>
      <c r="N59" s="16">
        <f>VLOOKUP(F:F,'3. Mercados'!$C$3:$F$9,3,FALSE)</f>
        <v>0.08</v>
      </c>
      <c r="O59" s="5" t="str">
        <f>VLOOKUP(F:F,'3. Mercados'!$C$3:$F$9,4,FALSE)</f>
        <v>Potencial</v>
      </c>
      <c r="P59" s="25">
        <f>Tabla1[[#This Row],[Unidades]]*Tabla1[[#This Row],[Precio FOB]]</f>
        <v>2976</v>
      </c>
      <c r="Q59" s="35">
        <f>Tabla1[[#This Row],[Unidades]]*Tabla1[[#This Row],[Costo Unitario]]</f>
        <v>1984</v>
      </c>
      <c r="R59" s="25">
        <f>Tabla1[[#This Row],[Valor FOB (Free On Board)]]-Tabla1[[#This Row],[Costo total]]</f>
        <v>992</v>
      </c>
      <c r="S59" s="16">
        <f>Tabla1[[#This Row],[Utilidad]]/Tabla1[[#This Row],[Valor FOB (Free On Board)]]</f>
        <v>0.33333333333333331</v>
      </c>
      <c r="T59" s="25" t="str">
        <f>IF(Tabla1[[#This Row],[Margen]]&gt;=30%,"Alta",IF(Tabla1[[#This Row],[Margen]]&gt;=15%,"Media","Baja"))</f>
        <v>Alta</v>
      </c>
      <c r="U59" s="25" t="str">
        <f>IF(Tabla1[[#This Row],[Valor FOB (Free On Board)]]&gt;=10000,"Grande",IF(Tabla1[[#This Row],[Valor FOB (Free On Board)]]&gt;=5000,"Mediana","Pequeña"))</f>
        <v>Pequeña</v>
      </c>
      <c r="V5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60" spans="2:22" x14ac:dyDescent="0.3">
      <c r="B60" s="14" t="s">
        <v>106</v>
      </c>
      <c r="C60" s="7">
        <v>46118</v>
      </c>
      <c r="D60" s="5" t="s">
        <v>14</v>
      </c>
      <c r="E60" s="5" t="s">
        <v>29</v>
      </c>
      <c r="F60" s="5" t="s">
        <v>16</v>
      </c>
      <c r="G60" s="5">
        <v>820</v>
      </c>
      <c r="H60" s="25">
        <v>12.5</v>
      </c>
      <c r="I60" s="5">
        <v>8.6999999999999993</v>
      </c>
      <c r="J60" s="15" t="s">
        <v>17</v>
      </c>
      <c r="K60" s="5" t="str">
        <f>VLOOKUP(E:E,'2. Productos'!$C$3:$F$8,2,FALSE)</f>
        <v>Aceite de ajonjolí</v>
      </c>
      <c r="L60" s="5" t="str">
        <f>VLOOKUP(E:E,'2. Productos'!$C$3:$E$8,3,FALSE)</f>
        <v>Aceites</v>
      </c>
      <c r="M60" s="5" t="str">
        <f>VLOOKUP(F:F,'3. Mercados'!$C$3:$F$9,2,FALSE)</f>
        <v>Norteamérica</v>
      </c>
      <c r="N60" s="16">
        <f>VLOOKUP(F:F,'3. Mercados'!$C$3:$F$9,3,FALSE)</f>
        <v>0.05</v>
      </c>
      <c r="O60" s="5" t="str">
        <f>VLOOKUP(F:F,'3. Mercados'!$C$3:$F$9,4,FALSE)</f>
        <v>Estratégico</v>
      </c>
      <c r="P60" s="25">
        <f>Tabla1[[#This Row],[Unidades]]*Tabla1[[#This Row],[Precio FOB]]</f>
        <v>10250</v>
      </c>
      <c r="Q60" s="35">
        <f>Tabla1[[#This Row],[Unidades]]*Tabla1[[#This Row],[Costo Unitario]]</f>
        <v>7133.9999999999991</v>
      </c>
      <c r="R60" s="25">
        <f>Tabla1[[#This Row],[Valor FOB (Free On Board)]]-Tabla1[[#This Row],[Costo total]]</f>
        <v>3116.0000000000009</v>
      </c>
      <c r="S60" s="16">
        <f>Tabla1[[#This Row],[Utilidad]]/Tabla1[[#This Row],[Valor FOB (Free On Board)]]</f>
        <v>0.3040000000000001</v>
      </c>
      <c r="T60" s="25" t="str">
        <f>IF(Tabla1[[#This Row],[Margen]]&gt;=30%,"Alta",IF(Tabla1[[#This Row],[Margen]]&gt;=15%,"Media","Baja"))</f>
        <v>Alta</v>
      </c>
      <c r="U60" s="25" t="str">
        <f>IF(Tabla1[[#This Row],[Valor FOB (Free On Board)]]&gt;=10000,"Grande",IF(Tabla1[[#This Row],[Valor FOB (Free On Board)]]&gt;=5000,"Mediana","Pequeña"))</f>
        <v>Grande</v>
      </c>
      <c r="V6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61" spans="2:22" x14ac:dyDescent="0.3">
      <c r="B61" s="14" t="s">
        <v>107</v>
      </c>
      <c r="C61" s="7">
        <v>46127</v>
      </c>
      <c r="D61" s="5" t="s">
        <v>9</v>
      </c>
      <c r="E61" s="5" t="s">
        <v>15</v>
      </c>
      <c r="F61" s="5" t="s">
        <v>11</v>
      </c>
      <c r="G61" s="5">
        <v>1250</v>
      </c>
      <c r="H61" s="25">
        <v>6.5</v>
      </c>
      <c r="I61" s="5">
        <v>4.0999999999999996</v>
      </c>
      <c r="J61" s="15" t="s">
        <v>17</v>
      </c>
      <c r="K61" s="5" t="str">
        <f>VLOOKUP(E:E,'2. Productos'!$C$3:$F$8,2,FALSE)</f>
        <v>Café especial</v>
      </c>
      <c r="L61" s="5" t="str">
        <f>VLOOKUP(E:E,'2. Productos'!$C$3:$E$8,3,FALSE)</f>
        <v>Café</v>
      </c>
      <c r="M61" s="5" t="str">
        <f>VLOOKUP(F:F,'3. Mercados'!$C$3:$F$9,2,FALSE)</f>
        <v>Centroamérica</v>
      </c>
      <c r="N61" s="16">
        <f>VLOOKUP(F:F,'3. Mercados'!$C$3:$F$9,3,FALSE)</f>
        <v>0.03</v>
      </c>
      <c r="O61" s="5" t="str">
        <f>VLOOKUP(F:F,'3. Mercados'!$C$3:$F$9,4,FALSE)</f>
        <v>Estratégico</v>
      </c>
      <c r="P61" s="25">
        <f>Tabla1[[#This Row],[Unidades]]*Tabla1[[#This Row],[Precio FOB]]</f>
        <v>8125</v>
      </c>
      <c r="Q61" s="35">
        <f>Tabla1[[#This Row],[Unidades]]*Tabla1[[#This Row],[Costo Unitario]]</f>
        <v>5125</v>
      </c>
      <c r="R61" s="25">
        <f>Tabla1[[#This Row],[Valor FOB (Free On Board)]]-Tabla1[[#This Row],[Costo total]]</f>
        <v>3000</v>
      </c>
      <c r="S61" s="16">
        <f>Tabla1[[#This Row],[Utilidad]]/Tabla1[[#This Row],[Valor FOB (Free On Board)]]</f>
        <v>0.36923076923076925</v>
      </c>
      <c r="T61" s="25" t="str">
        <f>IF(Tabla1[[#This Row],[Margen]]&gt;=30%,"Alta",IF(Tabla1[[#This Row],[Margen]]&gt;=15%,"Media","Baja"))</f>
        <v>Alta</v>
      </c>
      <c r="U61" s="25" t="str">
        <f>IF(Tabla1[[#This Row],[Valor FOB (Free On Board)]]&gt;=10000,"Grande",IF(Tabla1[[#This Row],[Valor FOB (Free On Board)]]&gt;=5000,"Mediana","Pequeña"))</f>
        <v>Mediana</v>
      </c>
      <c r="V6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62" spans="2:22" x14ac:dyDescent="0.3">
      <c r="B62" s="14" t="s">
        <v>108</v>
      </c>
      <c r="C62" s="7">
        <v>46136</v>
      </c>
      <c r="D62" s="5" t="s">
        <v>19</v>
      </c>
      <c r="E62" s="5" t="s">
        <v>24</v>
      </c>
      <c r="F62" s="5" t="s">
        <v>21</v>
      </c>
      <c r="G62" s="5">
        <v>790</v>
      </c>
      <c r="H62" s="25">
        <v>7.1</v>
      </c>
      <c r="I62" s="5">
        <v>4.8</v>
      </c>
      <c r="J62" s="15" t="s">
        <v>12</v>
      </c>
      <c r="K62" s="5" t="str">
        <f>VLOOKUP(E:E,'2. Productos'!$C$3:$F$8,2,FALSE)</f>
        <v>Cacao en grano</v>
      </c>
      <c r="L62" s="5" t="str">
        <f>VLOOKUP(E:E,'2. Productos'!$C$3:$E$8,3,FALSE)</f>
        <v>Cacao</v>
      </c>
      <c r="M62" s="5" t="str">
        <f>VLOOKUP(F:F,'3. Mercados'!$C$3:$F$9,2,FALSE)</f>
        <v>Centroamérica</v>
      </c>
      <c r="N62" s="16">
        <f>VLOOKUP(F:F,'3. Mercados'!$C$3:$F$9,3,FALSE)</f>
        <v>0.02</v>
      </c>
      <c r="O62" s="5" t="str">
        <f>VLOOKUP(F:F,'3. Mercados'!$C$3:$F$9,4,FALSE)</f>
        <v>Estratégico</v>
      </c>
      <c r="P62" s="25">
        <f>Tabla1[[#This Row],[Unidades]]*Tabla1[[#This Row],[Precio FOB]]</f>
        <v>5609</v>
      </c>
      <c r="Q62" s="35">
        <f>Tabla1[[#This Row],[Unidades]]*Tabla1[[#This Row],[Costo Unitario]]</f>
        <v>3792</v>
      </c>
      <c r="R62" s="25">
        <f>Tabla1[[#This Row],[Valor FOB (Free On Board)]]-Tabla1[[#This Row],[Costo total]]</f>
        <v>1817</v>
      </c>
      <c r="S62" s="16">
        <f>Tabla1[[#This Row],[Utilidad]]/Tabla1[[#This Row],[Valor FOB (Free On Board)]]</f>
        <v>0.323943661971831</v>
      </c>
      <c r="T62" s="25" t="str">
        <f>IF(Tabla1[[#This Row],[Margen]]&gt;=30%,"Alta",IF(Tabla1[[#This Row],[Margen]]&gt;=15%,"Media","Baja"))</f>
        <v>Alta</v>
      </c>
      <c r="U62" s="25" t="str">
        <f>IF(Tabla1[[#This Row],[Valor FOB (Free On Board)]]&gt;=10000,"Grande",IF(Tabla1[[#This Row],[Valor FOB (Free On Board)]]&gt;=5000,"Mediana","Pequeña"))</f>
        <v>Mediana</v>
      </c>
      <c r="V6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63" spans="2:22" x14ac:dyDescent="0.3">
      <c r="B63" s="14" t="s">
        <v>109</v>
      </c>
      <c r="C63" s="7">
        <v>46145</v>
      </c>
      <c r="D63" s="5" t="s">
        <v>23</v>
      </c>
      <c r="E63" s="5" t="s">
        <v>10</v>
      </c>
      <c r="F63" s="5" t="s">
        <v>25</v>
      </c>
      <c r="G63" s="5">
        <v>980</v>
      </c>
      <c r="H63" s="25">
        <v>4.8</v>
      </c>
      <c r="I63" s="5">
        <v>3.2</v>
      </c>
      <c r="J63" s="15" t="s">
        <v>26</v>
      </c>
      <c r="K63" s="5" t="str">
        <f>VLOOKUP(E:E,'2. Productos'!$C$3:$F$8,2,FALSE)</f>
        <v>Miel natural</v>
      </c>
      <c r="L63" s="5" t="str">
        <f>VLOOKUP(E:E,'2. Productos'!$C$3:$E$8,3,FALSE)</f>
        <v>Apícola</v>
      </c>
      <c r="M63" s="5" t="str">
        <f>VLOOKUP(F:F,'3. Mercados'!$C$3:$F$9,2,FALSE)</f>
        <v>Europa</v>
      </c>
      <c r="N63" s="16">
        <f>VLOOKUP(F:F,'3. Mercados'!$C$3:$F$9,3,FALSE)</f>
        <v>0.1</v>
      </c>
      <c r="O63" s="5" t="str">
        <f>VLOOKUP(F:F,'3. Mercados'!$C$3:$F$9,4,FALSE)</f>
        <v>Potencial</v>
      </c>
      <c r="P63" s="25">
        <f>Tabla1[[#This Row],[Unidades]]*Tabla1[[#This Row],[Precio FOB]]</f>
        <v>4704</v>
      </c>
      <c r="Q63" s="35">
        <f>Tabla1[[#This Row],[Unidades]]*Tabla1[[#This Row],[Costo Unitario]]</f>
        <v>3136</v>
      </c>
      <c r="R63" s="25">
        <f>Tabla1[[#This Row],[Valor FOB (Free On Board)]]-Tabla1[[#This Row],[Costo total]]</f>
        <v>1568</v>
      </c>
      <c r="S63" s="16">
        <f>Tabla1[[#This Row],[Utilidad]]/Tabla1[[#This Row],[Valor FOB (Free On Board)]]</f>
        <v>0.33333333333333331</v>
      </c>
      <c r="T63" s="25" t="str">
        <f>IF(Tabla1[[#This Row],[Margen]]&gt;=30%,"Alta",IF(Tabla1[[#This Row],[Margen]]&gt;=15%,"Media","Baja"))</f>
        <v>Alta</v>
      </c>
      <c r="U63" s="25" t="str">
        <f>IF(Tabla1[[#This Row],[Valor FOB (Free On Board)]]&gt;=10000,"Grande",IF(Tabla1[[#This Row],[Valor FOB (Free On Board)]]&gt;=5000,"Mediana","Pequeña"))</f>
        <v>Pequeña</v>
      </c>
      <c r="V6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64" spans="2:22" x14ac:dyDescent="0.3">
      <c r="B64" s="14" t="s">
        <v>110</v>
      </c>
      <c r="C64" s="7">
        <v>46154</v>
      </c>
      <c r="D64" s="5" t="s">
        <v>28</v>
      </c>
      <c r="E64" s="5" t="s">
        <v>20</v>
      </c>
      <c r="F64" s="5" t="s">
        <v>30</v>
      </c>
      <c r="G64" s="5">
        <v>730</v>
      </c>
      <c r="H64" s="25">
        <v>8.1999999999999993</v>
      </c>
      <c r="I64" s="5">
        <v>5.9</v>
      </c>
      <c r="J64" s="15" t="s">
        <v>17</v>
      </c>
      <c r="K64" s="5" t="str">
        <f>VLOOKUP(E:E,'2. Productos'!$C$3:$F$8,2,FALSE)</f>
        <v>Maní procesado</v>
      </c>
      <c r="L64" s="5" t="str">
        <f>VLOOKUP(E:E,'2. Productos'!$C$3:$E$8,3,FALSE)</f>
        <v>Semillas</v>
      </c>
      <c r="M64" s="5" t="str">
        <f>VLOOKUP(F:F,'3. Mercados'!$C$3:$F$9,2,FALSE)</f>
        <v>Norteamérica</v>
      </c>
      <c r="N64" s="16">
        <f>VLOOKUP(F:F,'3. Mercados'!$C$3:$F$9,3,FALSE)</f>
        <v>0.08</v>
      </c>
      <c r="O64" s="5" t="str">
        <f>VLOOKUP(F:F,'3. Mercados'!$C$3:$F$9,4,FALSE)</f>
        <v>Potencial</v>
      </c>
      <c r="P64" s="25">
        <f>Tabla1[[#This Row],[Unidades]]*Tabla1[[#This Row],[Precio FOB]]</f>
        <v>5985.9999999999991</v>
      </c>
      <c r="Q64" s="35">
        <f>Tabla1[[#This Row],[Unidades]]*Tabla1[[#This Row],[Costo Unitario]]</f>
        <v>4307</v>
      </c>
      <c r="R64" s="25">
        <f>Tabla1[[#This Row],[Valor FOB (Free On Board)]]-Tabla1[[#This Row],[Costo total]]</f>
        <v>1678.9999999999991</v>
      </c>
      <c r="S64" s="16">
        <f>Tabla1[[#This Row],[Utilidad]]/Tabla1[[#This Row],[Valor FOB (Free On Board)]]</f>
        <v>0.2804878048780487</v>
      </c>
      <c r="T64" s="25" t="str">
        <f>IF(Tabla1[[#This Row],[Margen]]&gt;=30%,"Alta",IF(Tabla1[[#This Row],[Margen]]&gt;=15%,"Media","Baja"))</f>
        <v>Media</v>
      </c>
      <c r="U64" s="25" t="str">
        <f>IF(Tabla1[[#This Row],[Valor FOB (Free On Board)]]&gt;=10000,"Grande",IF(Tabla1[[#This Row],[Valor FOB (Free On Board)]]&gt;=5000,"Mediana","Pequeña"))</f>
        <v>Mediana</v>
      </c>
      <c r="V6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Baja</v>
      </c>
    </row>
    <row r="65" spans="2:22" x14ac:dyDescent="0.3">
      <c r="B65" s="14" t="s">
        <v>111</v>
      </c>
      <c r="C65" s="7">
        <v>46163</v>
      </c>
      <c r="D65" s="5" t="s">
        <v>14</v>
      </c>
      <c r="E65" s="5" t="s">
        <v>15</v>
      </c>
      <c r="F65" s="5" t="s">
        <v>16</v>
      </c>
      <c r="G65" s="5">
        <v>1320</v>
      </c>
      <c r="H65" s="25">
        <v>6.5</v>
      </c>
      <c r="I65" s="5">
        <v>4.0999999999999996</v>
      </c>
      <c r="J65" s="15" t="s">
        <v>12</v>
      </c>
      <c r="K65" s="5" t="str">
        <f>VLOOKUP(E:E,'2. Productos'!$C$3:$F$8,2,FALSE)</f>
        <v>Café especial</v>
      </c>
      <c r="L65" s="5" t="str">
        <f>VLOOKUP(E:E,'2. Productos'!$C$3:$E$8,3,FALSE)</f>
        <v>Café</v>
      </c>
      <c r="M65" s="5" t="str">
        <f>VLOOKUP(F:F,'3. Mercados'!$C$3:$F$9,2,FALSE)</f>
        <v>Norteamérica</v>
      </c>
      <c r="N65" s="16">
        <f>VLOOKUP(F:F,'3. Mercados'!$C$3:$F$9,3,FALSE)</f>
        <v>0.05</v>
      </c>
      <c r="O65" s="5" t="str">
        <f>VLOOKUP(F:F,'3. Mercados'!$C$3:$F$9,4,FALSE)</f>
        <v>Estratégico</v>
      </c>
      <c r="P65" s="25">
        <f>Tabla1[[#This Row],[Unidades]]*Tabla1[[#This Row],[Precio FOB]]</f>
        <v>8580</v>
      </c>
      <c r="Q65" s="35">
        <f>Tabla1[[#This Row],[Unidades]]*Tabla1[[#This Row],[Costo Unitario]]</f>
        <v>5411.9999999999991</v>
      </c>
      <c r="R65" s="25">
        <f>Tabla1[[#This Row],[Valor FOB (Free On Board)]]-Tabla1[[#This Row],[Costo total]]</f>
        <v>3168.0000000000009</v>
      </c>
      <c r="S65" s="16">
        <f>Tabla1[[#This Row],[Utilidad]]/Tabla1[[#This Row],[Valor FOB (Free On Board)]]</f>
        <v>0.36923076923076936</v>
      </c>
      <c r="T65" s="25" t="str">
        <f>IF(Tabla1[[#This Row],[Margen]]&gt;=30%,"Alta",IF(Tabla1[[#This Row],[Margen]]&gt;=15%,"Media","Baja"))</f>
        <v>Alta</v>
      </c>
      <c r="U65" s="25" t="str">
        <f>IF(Tabla1[[#This Row],[Valor FOB (Free On Board)]]&gt;=10000,"Grande",IF(Tabla1[[#This Row],[Valor FOB (Free On Board)]]&gt;=5000,"Mediana","Pequeña"))</f>
        <v>Mediana</v>
      </c>
      <c r="V6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66" spans="2:22" x14ac:dyDescent="0.3">
      <c r="B66" s="14" t="s">
        <v>112</v>
      </c>
      <c r="C66" s="7">
        <v>46172</v>
      </c>
      <c r="D66" s="5" t="s">
        <v>9</v>
      </c>
      <c r="E66" s="5" t="s">
        <v>29</v>
      </c>
      <c r="F66" s="5" t="s">
        <v>11</v>
      </c>
      <c r="G66" s="5">
        <v>470</v>
      </c>
      <c r="H66" s="25">
        <v>12.5</v>
      </c>
      <c r="I66" s="5">
        <v>8.6999999999999993</v>
      </c>
      <c r="J66" s="15" t="s">
        <v>17</v>
      </c>
      <c r="K66" s="5" t="str">
        <f>VLOOKUP(E:E,'2. Productos'!$C$3:$F$8,2,FALSE)</f>
        <v>Aceite de ajonjolí</v>
      </c>
      <c r="L66" s="5" t="str">
        <f>VLOOKUP(E:E,'2. Productos'!$C$3:$E$8,3,FALSE)</f>
        <v>Aceites</v>
      </c>
      <c r="M66" s="5" t="str">
        <f>VLOOKUP(F:F,'3. Mercados'!$C$3:$F$9,2,FALSE)</f>
        <v>Centroamérica</v>
      </c>
      <c r="N66" s="16">
        <f>VLOOKUP(F:F,'3. Mercados'!$C$3:$F$9,3,FALSE)</f>
        <v>0.03</v>
      </c>
      <c r="O66" s="5" t="str">
        <f>VLOOKUP(F:F,'3. Mercados'!$C$3:$F$9,4,FALSE)</f>
        <v>Estratégico</v>
      </c>
      <c r="P66" s="25">
        <f>Tabla1[[#This Row],[Unidades]]*Tabla1[[#This Row],[Precio FOB]]</f>
        <v>5875</v>
      </c>
      <c r="Q66" s="35">
        <f>Tabla1[[#This Row],[Unidades]]*Tabla1[[#This Row],[Costo Unitario]]</f>
        <v>4088.9999999999995</v>
      </c>
      <c r="R66" s="25">
        <f>Tabla1[[#This Row],[Valor FOB (Free On Board)]]-Tabla1[[#This Row],[Costo total]]</f>
        <v>1786.0000000000005</v>
      </c>
      <c r="S66" s="16">
        <f>Tabla1[[#This Row],[Utilidad]]/Tabla1[[#This Row],[Valor FOB (Free On Board)]]</f>
        <v>0.3040000000000001</v>
      </c>
      <c r="T66" s="25" t="str">
        <f>IF(Tabla1[[#This Row],[Margen]]&gt;=30%,"Alta",IF(Tabla1[[#This Row],[Margen]]&gt;=15%,"Media","Baja"))</f>
        <v>Alta</v>
      </c>
      <c r="U66" s="25" t="str">
        <f>IF(Tabla1[[#This Row],[Valor FOB (Free On Board)]]&gt;=10000,"Grande",IF(Tabla1[[#This Row],[Valor FOB (Free On Board)]]&gt;=5000,"Mediana","Pequeña"))</f>
        <v>Mediana</v>
      </c>
      <c r="V6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67" spans="2:22" x14ac:dyDescent="0.3">
      <c r="B67" s="14" t="s">
        <v>113</v>
      </c>
      <c r="C67" s="7">
        <v>46181</v>
      </c>
      <c r="D67" s="5" t="s">
        <v>19</v>
      </c>
      <c r="E67" s="5" t="s">
        <v>10</v>
      </c>
      <c r="F67" s="5" t="s">
        <v>21</v>
      </c>
      <c r="G67" s="5">
        <v>860</v>
      </c>
      <c r="H67" s="25">
        <v>4.8</v>
      </c>
      <c r="I67" s="5">
        <v>3.2</v>
      </c>
      <c r="J67" s="15" t="s">
        <v>17</v>
      </c>
      <c r="K67" s="5" t="str">
        <f>VLOOKUP(E:E,'2. Productos'!$C$3:$F$8,2,FALSE)</f>
        <v>Miel natural</v>
      </c>
      <c r="L67" s="5" t="str">
        <f>VLOOKUP(E:E,'2. Productos'!$C$3:$E$8,3,FALSE)</f>
        <v>Apícola</v>
      </c>
      <c r="M67" s="5" t="str">
        <f>VLOOKUP(F:F,'3. Mercados'!$C$3:$F$9,2,FALSE)</f>
        <v>Centroamérica</v>
      </c>
      <c r="N67" s="16">
        <f>VLOOKUP(F:F,'3. Mercados'!$C$3:$F$9,3,FALSE)</f>
        <v>0.02</v>
      </c>
      <c r="O67" s="5" t="str">
        <f>VLOOKUP(F:F,'3. Mercados'!$C$3:$F$9,4,FALSE)</f>
        <v>Estratégico</v>
      </c>
      <c r="P67" s="25">
        <f>Tabla1[[#This Row],[Unidades]]*Tabla1[[#This Row],[Precio FOB]]</f>
        <v>4128</v>
      </c>
      <c r="Q67" s="35">
        <f>Tabla1[[#This Row],[Unidades]]*Tabla1[[#This Row],[Costo Unitario]]</f>
        <v>2752</v>
      </c>
      <c r="R67" s="25">
        <f>Tabla1[[#This Row],[Valor FOB (Free On Board)]]-Tabla1[[#This Row],[Costo total]]</f>
        <v>1376</v>
      </c>
      <c r="S67" s="16">
        <f>Tabla1[[#This Row],[Utilidad]]/Tabla1[[#This Row],[Valor FOB (Free On Board)]]</f>
        <v>0.33333333333333331</v>
      </c>
      <c r="T67" s="25" t="str">
        <f>IF(Tabla1[[#This Row],[Margen]]&gt;=30%,"Alta",IF(Tabla1[[#This Row],[Margen]]&gt;=15%,"Media","Baja"))</f>
        <v>Alta</v>
      </c>
      <c r="U67" s="25" t="str">
        <f>IF(Tabla1[[#This Row],[Valor FOB (Free On Board)]]&gt;=10000,"Grande",IF(Tabla1[[#This Row],[Valor FOB (Free On Board)]]&gt;=5000,"Mediana","Pequeña"))</f>
        <v>Pequeña</v>
      </c>
      <c r="V6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68" spans="2:22" x14ac:dyDescent="0.3">
      <c r="B68" s="14" t="s">
        <v>114</v>
      </c>
      <c r="C68" s="7">
        <v>46190</v>
      </c>
      <c r="D68" s="5" t="s">
        <v>23</v>
      </c>
      <c r="E68" s="5" t="s">
        <v>24</v>
      </c>
      <c r="F68" s="5" t="s">
        <v>25</v>
      </c>
      <c r="G68" s="5">
        <v>1040</v>
      </c>
      <c r="H68" s="25">
        <v>7.1</v>
      </c>
      <c r="I68" s="5">
        <v>4.8</v>
      </c>
      <c r="J68" s="15" t="s">
        <v>12</v>
      </c>
      <c r="K68" s="5" t="str">
        <f>VLOOKUP(E:E,'2. Productos'!$C$3:$F$8,2,FALSE)</f>
        <v>Cacao en grano</v>
      </c>
      <c r="L68" s="5" t="str">
        <f>VLOOKUP(E:E,'2. Productos'!$C$3:$E$8,3,FALSE)</f>
        <v>Cacao</v>
      </c>
      <c r="M68" s="5" t="str">
        <f>VLOOKUP(F:F,'3. Mercados'!$C$3:$F$9,2,FALSE)</f>
        <v>Europa</v>
      </c>
      <c r="N68" s="16">
        <f>VLOOKUP(F:F,'3. Mercados'!$C$3:$F$9,3,FALSE)</f>
        <v>0.1</v>
      </c>
      <c r="O68" s="5" t="str">
        <f>VLOOKUP(F:F,'3. Mercados'!$C$3:$F$9,4,FALSE)</f>
        <v>Potencial</v>
      </c>
      <c r="P68" s="25">
        <f>Tabla1[[#This Row],[Unidades]]*Tabla1[[#This Row],[Precio FOB]]</f>
        <v>7384</v>
      </c>
      <c r="Q68" s="35">
        <f>Tabla1[[#This Row],[Unidades]]*Tabla1[[#This Row],[Costo Unitario]]</f>
        <v>4992</v>
      </c>
      <c r="R68" s="25">
        <f>Tabla1[[#This Row],[Valor FOB (Free On Board)]]-Tabla1[[#This Row],[Costo total]]</f>
        <v>2392</v>
      </c>
      <c r="S68" s="16">
        <f>Tabla1[[#This Row],[Utilidad]]/Tabla1[[#This Row],[Valor FOB (Free On Board)]]</f>
        <v>0.323943661971831</v>
      </c>
      <c r="T68" s="25" t="str">
        <f>IF(Tabla1[[#This Row],[Margen]]&gt;=30%,"Alta",IF(Tabla1[[#This Row],[Margen]]&gt;=15%,"Media","Baja"))</f>
        <v>Alta</v>
      </c>
      <c r="U68" s="25" t="str">
        <f>IF(Tabla1[[#This Row],[Valor FOB (Free On Board)]]&gt;=10000,"Grande",IF(Tabla1[[#This Row],[Valor FOB (Free On Board)]]&gt;=5000,"Mediana","Pequeña"))</f>
        <v>Mediana</v>
      </c>
      <c r="V6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69" spans="2:22" x14ac:dyDescent="0.3">
      <c r="B69" s="14" t="s">
        <v>115</v>
      </c>
      <c r="C69" s="7">
        <v>46199</v>
      </c>
      <c r="D69" s="5" t="s">
        <v>28</v>
      </c>
      <c r="E69" s="5" t="s">
        <v>15</v>
      </c>
      <c r="F69" s="5" t="s">
        <v>30</v>
      </c>
      <c r="G69" s="5">
        <v>890</v>
      </c>
      <c r="H69" s="25">
        <v>6.5</v>
      </c>
      <c r="I69" s="5">
        <v>4.0999999999999996</v>
      </c>
      <c r="J69" s="15" t="s">
        <v>26</v>
      </c>
      <c r="K69" s="5" t="str">
        <f>VLOOKUP(E:E,'2. Productos'!$C$3:$F$8,2,FALSE)</f>
        <v>Café especial</v>
      </c>
      <c r="L69" s="5" t="str">
        <f>VLOOKUP(E:E,'2. Productos'!$C$3:$E$8,3,FALSE)</f>
        <v>Café</v>
      </c>
      <c r="M69" s="5" t="str">
        <f>VLOOKUP(F:F,'3. Mercados'!$C$3:$F$9,2,FALSE)</f>
        <v>Norteamérica</v>
      </c>
      <c r="N69" s="16">
        <f>VLOOKUP(F:F,'3. Mercados'!$C$3:$F$9,3,FALSE)</f>
        <v>0.08</v>
      </c>
      <c r="O69" s="5" t="str">
        <f>VLOOKUP(F:F,'3. Mercados'!$C$3:$F$9,4,FALSE)</f>
        <v>Potencial</v>
      </c>
      <c r="P69" s="25">
        <f>Tabla1[[#This Row],[Unidades]]*Tabla1[[#This Row],[Precio FOB]]</f>
        <v>5785</v>
      </c>
      <c r="Q69" s="35">
        <f>Tabla1[[#This Row],[Unidades]]*Tabla1[[#This Row],[Costo Unitario]]</f>
        <v>3648.9999999999995</v>
      </c>
      <c r="R69" s="25">
        <f>Tabla1[[#This Row],[Valor FOB (Free On Board)]]-Tabla1[[#This Row],[Costo total]]</f>
        <v>2136.0000000000005</v>
      </c>
      <c r="S69" s="16">
        <f>Tabla1[[#This Row],[Utilidad]]/Tabla1[[#This Row],[Valor FOB (Free On Board)]]</f>
        <v>0.36923076923076931</v>
      </c>
      <c r="T69" s="25" t="str">
        <f>IF(Tabla1[[#This Row],[Margen]]&gt;=30%,"Alta",IF(Tabla1[[#This Row],[Margen]]&gt;=15%,"Media","Baja"))</f>
        <v>Alta</v>
      </c>
      <c r="U69" s="25" t="str">
        <f>IF(Tabla1[[#This Row],[Valor FOB (Free On Board)]]&gt;=10000,"Grande",IF(Tabla1[[#This Row],[Valor FOB (Free On Board)]]&gt;=5000,"Mediana","Pequeña"))</f>
        <v>Mediana</v>
      </c>
      <c r="V6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70" spans="2:22" x14ac:dyDescent="0.3">
      <c r="B70" s="14" t="s">
        <v>116</v>
      </c>
      <c r="C70" s="7">
        <v>46208</v>
      </c>
      <c r="D70" s="5" t="s">
        <v>14</v>
      </c>
      <c r="E70" s="5" t="s">
        <v>20</v>
      </c>
      <c r="F70" s="5" t="s">
        <v>16</v>
      </c>
      <c r="G70" s="5">
        <v>1170</v>
      </c>
      <c r="H70" s="25">
        <v>8.1999999999999993</v>
      </c>
      <c r="I70" s="5">
        <v>5.9</v>
      </c>
      <c r="J70" s="15" t="s">
        <v>17</v>
      </c>
      <c r="K70" s="5" t="str">
        <f>VLOOKUP(E:E,'2. Productos'!$C$3:$F$8,2,FALSE)</f>
        <v>Maní procesado</v>
      </c>
      <c r="L70" s="5" t="str">
        <f>VLOOKUP(E:E,'2. Productos'!$C$3:$E$8,3,FALSE)</f>
        <v>Semillas</v>
      </c>
      <c r="M70" s="5" t="str">
        <f>VLOOKUP(F:F,'3. Mercados'!$C$3:$F$9,2,FALSE)</f>
        <v>Norteamérica</v>
      </c>
      <c r="N70" s="16">
        <f>VLOOKUP(F:F,'3. Mercados'!$C$3:$F$9,3,FALSE)</f>
        <v>0.05</v>
      </c>
      <c r="O70" s="5" t="str">
        <f>VLOOKUP(F:F,'3. Mercados'!$C$3:$F$9,4,FALSE)</f>
        <v>Estratégico</v>
      </c>
      <c r="P70" s="25">
        <f>Tabla1[[#This Row],[Unidades]]*Tabla1[[#This Row],[Precio FOB]]</f>
        <v>9594</v>
      </c>
      <c r="Q70" s="35">
        <f>Tabla1[[#This Row],[Unidades]]*Tabla1[[#This Row],[Costo Unitario]]</f>
        <v>6903</v>
      </c>
      <c r="R70" s="25">
        <f>Tabla1[[#This Row],[Valor FOB (Free On Board)]]-Tabla1[[#This Row],[Costo total]]</f>
        <v>2691</v>
      </c>
      <c r="S70" s="16">
        <f>Tabla1[[#This Row],[Utilidad]]/Tabla1[[#This Row],[Valor FOB (Free On Board)]]</f>
        <v>0.28048780487804881</v>
      </c>
      <c r="T70" s="25" t="str">
        <f>IF(Tabla1[[#This Row],[Margen]]&gt;=30%,"Alta",IF(Tabla1[[#This Row],[Margen]]&gt;=15%,"Media","Baja"))</f>
        <v>Media</v>
      </c>
      <c r="U70" s="25" t="str">
        <f>IF(Tabla1[[#This Row],[Valor FOB (Free On Board)]]&gt;=10000,"Grande",IF(Tabla1[[#This Row],[Valor FOB (Free On Board)]]&gt;=5000,"Mediana","Pequeña"))</f>
        <v>Mediana</v>
      </c>
      <c r="V7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71" spans="2:22" x14ac:dyDescent="0.3">
      <c r="B71" s="14" t="s">
        <v>117</v>
      </c>
      <c r="C71" s="7">
        <v>46217</v>
      </c>
      <c r="D71" s="5" t="s">
        <v>9</v>
      </c>
      <c r="E71" s="5" t="s">
        <v>10</v>
      </c>
      <c r="F71" s="5" t="s">
        <v>11</v>
      </c>
      <c r="G71" s="5">
        <v>760</v>
      </c>
      <c r="H71" s="25">
        <v>4.8</v>
      </c>
      <c r="I71" s="5">
        <v>3.2</v>
      </c>
      <c r="J71" s="15" t="s">
        <v>12</v>
      </c>
      <c r="K71" s="5" t="str">
        <f>VLOOKUP(E:E,'2. Productos'!$C$3:$F$8,2,FALSE)</f>
        <v>Miel natural</v>
      </c>
      <c r="L71" s="5" t="str">
        <f>VLOOKUP(E:E,'2. Productos'!$C$3:$E$8,3,FALSE)</f>
        <v>Apícola</v>
      </c>
      <c r="M71" s="5" t="str">
        <f>VLOOKUP(F:F,'3. Mercados'!$C$3:$F$9,2,FALSE)</f>
        <v>Centroamérica</v>
      </c>
      <c r="N71" s="16">
        <f>VLOOKUP(F:F,'3. Mercados'!$C$3:$F$9,3,FALSE)</f>
        <v>0.03</v>
      </c>
      <c r="O71" s="5" t="str">
        <f>VLOOKUP(F:F,'3. Mercados'!$C$3:$F$9,4,FALSE)</f>
        <v>Estratégico</v>
      </c>
      <c r="P71" s="25">
        <f>Tabla1[[#This Row],[Unidades]]*Tabla1[[#This Row],[Precio FOB]]</f>
        <v>3648</v>
      </c>
      <c r="Q71" s="35">
        <f>Tabla1[[#This Row],[Unidades]]*Tabla1[[#This Row],[Costo Unitario]]</f>
        <v>2432</v>
      </c>
      <c r="R71" s="25">
        <f>Tabla1[[#This Row],[Valor FOB (Free On Board)]]-Tabla1[[#This Row],[Costo total]]</f>
        <v>1216</v>
      </c>
      <c r="S71" s="16">
        <f>Tabla1[[#This Row],[Utilidad]]/Tabla1[[#This Row],[Valor FOB (Free On Board)]]</f>
        <v>0.33333333333333331</v>
      </c>
      <c r="T71" s="25" t="str">
        <f>IF(Tabla1[[#This Row],[Margen]]&gt;=30%,"Alta",IF(Tabla1[[#This Row],[Margen]]&gt;=15%,"Media","Baja"))</f>
        <v>Alta</v>
      </c>
      <c r="U71" s="25" t="str">
        <f>IF(Tabla1[[#This Row],[Valor FOB (Free On Board)]]&gt;=10000,"Grande",IF(Tabla1[[#This Row],[Valor FOB (Free On Board)]]&gt;=5000,"Mediana","Pequeña"))</f>
        <v>Pequeña</v>
      </c>
      <c r="V7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72" spans="2:22" x14ac:dyDescent="0.3">
      <c r="B72" s="14" t="s">
        <v>118</v>
      </c>
      <c r="C72" s="7">
        <v>46226</v>
      </c>
      <c r="D72" s="5" t="s">
        <v>19</v>
      </c>
      <c r="E72" s="5" t="s">
        <v>29</v>
      </c>
      <c r="F72" s="5" t="s">
        <v>21</v>
      </c>
      <c r="G72" s="5">
        <v>540</v>
      </c>
      <c r="H72" s="25">
        <v>12.5</v>
      </c>
      <c r="I72" s="5">
        <v>8.6999999999999993</v>
      </c>
      <c r="J72" s="15" t="s">
        <v>17</v>
      </c>
      <c r="K72" s="5" t="str">
        <f>VLOOKUP(E:E,'2. Productos'!$C$3:$F$8,2,FALSE)</f>
        <v>Aceite de ajonjolí</v>
      </c>
      <c r="L72" s="5" t="str">
        <f>VLOOKUP(E:E,'2. Productos'!$C$3:$E$8,3,FALSE)</f>
        <v>Aceites</v>
      </c>
      <c r="M72" s="5" t="str">
        <f>VLOOKUP(F:F,'3. Mercados'!$C$3:$F$9,2,FALSE)</f>
        <v>Centroamérica</v>
      </c>
      <c r="N72" s="16">
        <f>VLOOKUP(F:F,'3. Mercados'!$C$3:$F$9,3,FALSE)</f>
        <v>0.02</v>
      </c>
      <c r="O72" s="5" t="str">
        <f>VLOOKUP(F:F,'3. Mercados'!$C$3:$F$9,4,FALSE)</f>
        <v>Estratégico</v>
      </c>
      <c r="P72" s="25">
        <f>Tabla1[[#This Row],[Unidades]]*Tabla1[[#This Row],[Precio FOB]]</f>
        <v>6750</v>
      </c>
      <c r="Q72" s="35">
        <f>Tabla1[[#This Row],[Unidades]]*Tabla1[[#This Row],[Costo Unitario]]</f>
        <v>4698</v>
      </c>
      <c r="R72" s="25">
        <f>Tabla1[[#This Row],[Valor FOB (Free On Board)]]-Tabla1[[#This Row],[Costo total]]</f>
        <v>2052</v>
      </c>
      <c r="S72" s="16">
        <f>Tabla1[[#This Row],[Utilidad]]/Tabla1[[#This Row],[Valor FOB (Free On Board)]]</f>
        <v>0.30399999999999999</v>
      </c>
      <c r="T72" s="25" t="str">
        <f>IF(Tabla1[[#This Row],[Margen]]&gt;=30%,"Alta",IF(Tabla1[[#This Row],[Margen]]&gt;=15%,"Media","Baja"))</f>
        <v>Alta</v>
      </c>
      <c r="U72" s="25" t="str">
        <f>IF(Tabla1[[#This Row],[Valor FOB (Free On Board)]]&gt;=10000,"Grande",IF(Tabla1[[#This Row],[Valor FOB (Free On Board)]]&gt;=5000,"Mediana","Pequeña"))</f>
        <v>Mediana</v>
      </c>
      <c r="V7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73" spans="2:22" x14ac:dyDescent="0.3">
      <c r="B73" s="14" t="s">
        <v>119</v>
      </c>
      <c r="C73" s="7">
        <v>46235</v>
      </c>
      <c r="D73" s="5" t="s">
        <v>23</v>
      </c>
      <c r="E73" s="5" t="s">
        <v>15</v>
      </c>
      <c r="F73" s="5" t="s">
        <v>25</v>
      </c>
      <c r="G73" s="5">
        <v>1280</v>
      </c>
      <c r="H73" s="25">
        <v>6.5</v>
      </c>
      <c r="I73" s="5">
        <v>4.0999999999999996</v>
      </c>
      <c r="J73" s="15" t="s">
        <v>12</v>
      </c>
      <c r="K73" s="5" t="str">
        <f>VLOOKUP(E:E,'2. Productos'!$C$3:$F$8,2,FALSE)</f>
        <v>Café especial</v>
      </c>
      <c r="L73" s="5" t="str">
        <f>VLOOKUP(E:E,'2. Productos'!$C$3:$E$8,3,FALSE)</f>
        <v>Café</v>
      </c>
      <c r="M73" s="5" t="str">
        <f>VLOOKUP(F:F,'3. Mercados'!$C$3:$F$9,2,FALSE)</f>
        <v>Europa</v>
      </c>
      <c r="N73" s="16">
        <f>VLOOKUP(F:F,'3. Mercados'!$C$3:$F$9,3,FALSE)</f>
        <v>0.1</v>
      </c>
      <c r="O73" s="5" t="str">
        <f>VLOOKUP(F:F,'3. Mercados'!$C$3:$F$9,4,FALSE)</f>
        <v>Potencial</v>
      </c>
      <c r="P73" s="25">
        <f>Tabla1[[#This Row],[Unidades]]*Tabla1[[#This Row],[Precio FOB]]</f>
        <v>8320</v>
      </c>
      <c r="Q73" s="35">
        <f>Tabla1[[#This Row],[Unidades]]*Tabla1[[#This Row],[Costo Unitario]]</f>
        <v>5248</v>
      </c>
      <c r="R73" s="25">
        <f>Tabla1[[#This Row],[Valor FOB (Free On Board)]]-Tabla1[[#This Row],[Costo total]]</f>
        <v>3072</v>
      </c>
      <c r="S73" s="16">
        <f>Tabla1[[#This Row],[Utilidad]]/Tabla1[[#This Row],[Valor FOB (Free On Board)]]</f>
        <v>0.36923076923076925</v>
      </c>
      <c r="T73" s="25" t="str">
        <f>IF(Tabla1[[#This Row],[Margen]]&gt;=30%,"Alta",IF(Tabla1[[#This Row],[Margen]]&gt;=15%,"Media","Baja"))</f>
        <v>Alta</v>
      </c>
      <c r="U73" s="25" t="str">
        <f>IF(Tabla1[[#This Row],[Valor FOB (Free On Board)]]&gt;=10000,"Grande",IF(Tabla1[[#This Row],[Valor FOB (Free On Board)]]&gt;=5000,"Mediana","Pequeña"))</f>
        <v>Mediana</v>
      </c>
      <c r="V7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74" spans="2:22" x14ac:dyDescent="0.3">
      <c r="B74" s="14" t="s">
        <v>120</v>
      </c>
      <c r="C74" s="7">
        <v>46244</v>
      </c>
      <c r="D74" s="5" t="s">
        <v>28</v>
      </c>
      <c r="E74" s="5" t="s">
        <v>24</v>
      </c>
      <c r="F74" s="5" t="s">
        <v>30</v>
      </c>
      <c r="G74" s="5">
        <v>930</v>
      </c>
      <c r="H74" s="25">
        <v>7.1</v>
      </c>
      <c r="I74" s="5">
        <v>4.8</v>
      </c>
      <c r="J74" s="15" t="s">
        <v>17</v>
      </c>
      <c r="K74" s="5" t="str">
        <f>VLOOKUP(E:E,'2. Productos'!$C$3:$F$8,2,FALSE)</f>
        <v>Cacao en grano</v>
      </c>
      <c r="L74" s="5" t="str">
        <f>VLOOKUP(E:E,'2. Productos'!$C$3:$E$8,3,FALSE)</f>
        <v>Cacao</v>
      </c>
      <c r="M74" s="5" t="str">
        <f>VLOOKUP(F:F,'3. Mercados'!$C$3:$F$9,2,FALSE)</f>
        <v>Norteamérica</v>
      </c>
      <c r="N74" s="16">
        <f>VLOOKUP(F:F,'3. Mercados'!$C$3:$F$9,3,FALSE)</f>
        <v>0.08</v>
      </c>
      <c r="O74" s="5" t="str">
        <f>VLOOKUP(F:F,'3. Mercados'!$C$3:$F$9,4,FALSE)</f>
        <v>Potencial</v>
      </c>
      <c r="P74" s="25">
        <f>Tabla1[[#This Row],[Unidades]]*Tabla1[[#This Row],[Precio FOB]]</f>
        <v>6603</v>
      </c>
      <c r="Q74" s="35">
        <f>Tabla1[[#This Row],[Unidades]]*Tabla1[[#This Row],[Costo Unitario]]</f>
        <v>4464</v>
      </c>
      <c r="R74" s="25">
        <f>Tabla1[[#This Row],[Valor FOB (Free On Board)]]-Tabla1[[#This Row],[Costo total]]</f>
        <v>2139</v>
      </c>
      <c r="S74" s="16">
        <f>Tabla1[[#This Row],[Utilidad]]/Tabla1[[#This Row],[Valor FOB (Free On Board)]]</f>
        <v>0.323943661971831</v>
      </c>
      <c r="T74" s="25" t="str">
        <f>IF(Tabla1[[#This Row],[Margen]]&gt;=30%,"Alta",IF(Tabla1[[#This Row],[Margen]]&gt;=15%,"Media","Baja"))</f>
        <v>Alta</v>
      </c>
      <c r="U74" s="25" t="str">
        <f>IF(Tabla1[[#This Row],[Valor FOB (Free On Board)]]&gt;=10000,"Grande",IF(Tabla1[[#This Row],[Valor FOB (Free On Board)]]&gt;=5000,"Mediana","Pequeña"))</f>
        <v>Mediana</v>
      </c>
      <c r="V7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75" spans="2:22" x14ac:dyDescent="0.3">
      <c r="B75" s="14" t="s">
        <v>121</v>
      </c>
      <c r="C75" s="7">
        <v>46253</v>
      </c>
      <c r="D75" s="5" t="s">
        <v>14</v>
      </c>
      <c r="E75" s="5" t="s">
        <v>10</v>
      </c>
      <c r="F75" s="5" t="s">
        <v>16</v>
      </c>
      <c r="G75" s="5">
        <v>1550</v>
      </c>
      <c r="H75" s="25">
        <v>4.8</v>
      </c>
      <c r="I75" s="5">
        <v>3.2</v>
      </c>
      <c r="J75" s="15" t="s">
        <v>17</v>
      </c>
      <c r="K75" s="5" t="str">
        <f>VLOOKUP(E:E,'2. Productos'!$C$3:$F$8,2,FALSE)</f>
        <v>Miel natural</v>
      </c>
      <c r="L75" s="5" t="str">
        <f>VLOOKUP(E:E,'2. Productos'!$C$3:$E$8,3,FALSE)</f>
        <v>Apícola</v>
      </c>
      <c r="M75" s="5" t="str">
        <f>VLOOKUP(F:F,'3. Mercados'!$C$3:$F$9,2,FALSE)</f>
        <v>Norteamérica</v>
      </c>
      <c r="N75" s="16">
        <f>VLOOKUP(F:F,'3. Mercados'!$C$3:$F$9,3,FALSE)</f>
        <v>0.05</v>
      </c>
      <c r="O75" s="5" t="str">
        <f>VLOOKUP(F:F,'3. Mercados'!$C$3:$F$9,4,FALSE)</f>
        <v>Estratégico</v>
      </c>
      <c r="P75" s="25">
        <f>Tabla1[[#This Row],[Unidades]]*Tabla1[[#This Row],[Precio FOB]]</f>
        <v>7440</v>
      </c>
      <c r="Q75" s="35">
        <f>Tabla1[[#This Row],[Unidades]]*Tabla1[[#This Row],[Costo Unitario]]</f>
        <v>4960</v>
      </c>
      <c r="R75" s="25">
        <f>Tabla1[[#This Row],[Valor FOB (Free On Board)]]-Tabla1[[#This Row],[Costo total]]</f>
        <v>2480</v>
      </c>
      <c r="S75" s="16">
        <f>Tabla1[[#This Row],[Utilidad]]/Tabla1[[#This Row],[Valor FOB (Free On Board)]]</f>
        <v>0.33333333333333331</v>
      </c>
      <c r="T75" s="25" t="str">
        <f>IF(Tabla1[[#This Row],[Margen]]&gt;=30%,"Alta",IF(Tabla1[[#This Row],[Margen]]&gt;=15%,"Media","Baja"))</f>
        <v>Alta</v>
      </c>
      <c r="U75" s="25" t="str">
        <f>IF(Tabla1[[#This Row],[Valor FOB (Free On Board)]]&gt;=10000,"Grande",IF(Tabla1[[#This Row],[Valor FOB (Free On Board)]]&gt;=5000,"Mediana","Pequeña"))</f>
        <v>Mediana</v>
      </c>
      <c r="V7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76" spans="2:22" x14ac:dyDescent="0.3">
      <c r="B76" s="14" t="s">
        <v>122</v>
      </c>
      <c r="C76" s="7">
        <v>46262</v>
      </c>
      <c r="D76" s="5" t="s">
        <v>9</v>
      </c>
      <c r="E76" s="5" t="s">
        <v>20</v>
      </c>
      <c r="F76" s="5" t="s">
        <v>11</v>
      </c>
      <c r="G76" s="5">
        <v>690</v>
      </c>
      <c r="H76" s="25">
        <v>8.1999999999999993</v>
      </c>
      <c r="I76" s="5">
        <v>5.9</v>
      </c>
      <c r="J76" s="15" t="s">
        <v>26</v>
      </c>
      <c r="K76" s="5" t="str">
        <f>VLOOKUP(E:E,'2. Productos'!$C$3:$F$8,2,FALSE)</f>
        <v>Maní procesado</v>
      </c>
      <c r="L76" s="5" t="str">
        <f>VLOOKUP(E:E,'2. Productos'!$C$3:$E$8,3,FALSE)</f>
        <v>Semillas</v>
      </c>
      <c r="M76" s="5" t="str">
        <f>VLOOKUP(F:F,'3. Mercados'!$C$3:$F$9,2,FALSE)</f>
        <v>Centroamérica</v>
      </c>
      <c r="N76" s="16">
        <f>VLOOKUP(F:F,'3. Mercados'!$C$3:$F$9,3,FALSE)</f>
        <v>0.03</v>
      </c>
      <c r="O76" s="5" t="str">
        <f>VLOOKUP(F:F,'3. Mercados'!$C$3:$F$9,4,FALSE)</f>
        <v>Estratégico</v>
      </c>
      <c r="P76" s="25">
        <f>Tabla1[[#This Row],[Unidades]]*Tabla1[[#This Row],[Precio FOB]]</f>
        <v>5657.9999999999991</v>
      </c>
      <c r="Q76" s="35">
        <f>Tabla1[[#This Row],[Unidades]]*Tabla1[[#This Row],[Costo Unitario]]</f>
        <v>4071.0000000000005</v>
      </c>
      <c r="R76" s="25">
        <f>Tabla1[[#This Row],[Valor FOB (Free On Board)]]-Tabla1[[#This Row],[Costo total]]</f>
        <v>1586.9999999999986</v>
      </c>
      <c r="S76" s="16">
        <f>Tabla1[[#This Row],[Utilidad]]/Tabla1[[#This Row],[Valor FOB (Free On Board)]]</f>
        <v>0.28048780487804859</v>
      </c>
      <c r="T76" s="25" t="str">
        <f>IF(Tabla1[[#This Row],[Margen]]&gt;=30%,"Alta",IF(Tabla1[[#This Row],[Margen]]&gt;=15%,"Media","Baja"))</f>
        <v>Media</v>
      </c>
      <c r="U76" s="25" t="str">
        <f>IF(Tabla1[[#This Row],[Valor FOB (Free On Board)]]&gt;=10000,"Grande",IF(Tabla1[[#This Row],[Valor FOB (Free On Board)]]&gt;=5000,"Mediana","Pequeña"))</f>
        <v>Mediana</v>
      </c>
      <c r="V7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77" spans="2:22" x14ac:dyDescent="0.3">
      <c r="B77" s="14" t="s">
        <v>123</v>
      </c>
      <c r="C77" s="7">
        <v>46271</v>
      </c>
      <c r="D77" s="5" t="s">
        <v>19</v>
      </c>
      <c r="E77" s="5" t="s">
        <v>15</v>
      </c>
      <c r="F77" s="5" t="s">
        <v>21</v>
      </c>
      <c r="G77" s="5">
        <v>1020</v>
      </c>
      <c r="H77" s="25">
        <v>6.5</v>
      </c>
      <c r="I77" s="5">
        <v>4.0999999999999996</v>
      </c>
      <c r="J77" s="15" t="s">
        <v>12</v>
      </c>
      <c r="K77" s="5" t="str">
        <f>VLOOKUP(E:E,'2. Productos'!$C$3:$F$8,2,FALSE)</f>
        <v>Café especial</v>
      </c>
      <c r="L77" s="5" t="str">
        <f>VLOOKUP(E:E,'2. Productos'!$C$3:$E$8,3,FALSE)</f>
        <v>Café</v>
      </c>
      <c r="M77" s="5" t="str">
        <f>VLOOKUP(F:F,'3. Mercados'!$C$3:$F$9,2,FALSE)</f>
        <v>Centroamérica</v>
      </c>
      <c r="N77" s="16">
        <f>VLOOKUP(F:F,'3. Mercados'!$C$3:$F$9,3,FALSE)</f>
        <v>0.02</v>
      </c>
      <c r="O77" s="5" t="str">
        <f>VLOOKUP(F:F,'3. Mercados'!$C$3:$F$9,4,FALSE)</f>
        <v>Estratégico</v>
      </c>
      <c r="P77" s="25">
        <f>Tabla1[[#This Row],[Unidades]]*Tabla1[[#This Row],[Precio FOB]]</f>
        <v>6630</v>
      </c>
      <c r="Q77" s="35">
        <f>Tabla1[[#This Row],[Unidades]]*Tabla1[[#This Row],[Costo Unitario]]</f>
        <v>4182</v>
      </c>
      <c r="R77" s="25">
        <f>Tabla1[[#This Row],[Valor FOB (Free On Board)]]-Tabla1[[#This Row],[Costo total]]</f>
        <v>2448</v>
      </c>
      <c r="S77" s="16">
        <f>Tabla1[[#This Row],[Utilidad]]/Tabla1[[#This Row],[Valor FOB (Free On Board)]]</f>
        <v>0.36923076923076925</v>
      </c>
      <c r="T77" s="25" t="str">
        <f>IF(Tabla1[[#This Row],[Margen]]&gt;=30%,"Alta",IF(Tabla1[[#This Row],[Margen]]&gt;=15%,"Media","Baja"))</f>
        <v>Alta</v>
      </c>
      <c r="U77" s="25" t="str">
        <f>IF(Tabla1[[#This Row],[Valor FOB (Free On Board)]]&gt;=10000,"Grande",IF(Tabla1[[#This Row],[Valor FOB (Free On Board)]]&gt;=5000,"Mediana","Pequeña"))</f>
        <v>Mediana</v>
      </c>
      <c r="V7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78" spans="2:22" x14ac:dyDescent="0.3">
      <c r="B78" s="14" t="s">
        <v>124</v>
      </c>
      <c r="C78" s="7">
        <v>46280</v>
      </c>
      <c r="D78" s="5" t="s">
        <v>23</v>
      </c>
      <c r="E78" s="5" t="s">
        <v>29</v>
      </c>
      <c r="F78" s="5" t="s">
        <v>25</v>
      </c>
      <c r="G78" s="5">
        <v>610</v>
      </c>
      <c r="H78" s="25">
        <v>12.5</v>
      </c>
      <c r="I78" s="5">
        <v>8.6999999999999993</v>
      </c>
      <c r="J78" s="15" t="s">
        <v>17</v>
      </c>
      <c r="K78" s="5" t="str">
        <f>VLOOKUP(E:E,'2. Productos'!$C$3:$F$8,2,FALSE)</f>
        <v>Aceite de ajonjolí</v>
      </c>
      <c r="L78" s="5" t="str">
        <f>VLOOKUP(E:E,'2. Productos'!$C$3:$E$8,3,FALSE)</f>
        <v>Aceites</v>
      </c>
      <c r="M78" s="5" t="str">
        <f>VLOOKUP(F:F,'3. Mercados'!$C$3:$F$9,2,FALSE)</f>
        <v>Europa</v>
      </c>
      <c r="N78" s="16">
        <f>VLOOKUP(F:F,'3. Mercados'!$C$3:$F$9,3,FALSE)</f>
        <v>0.1</v>
      </c>
      <c r="O78" s="5" t="str">
        <f>VLOOKUP(F:F,'3. Mercados'!$C$3:$F$9,4,FALSE)</f>
        <v>Potencial</v>
      </c>
      <c r="P78" s="25">
        <f>Tabla1[[#This Row],[Unidades]]*Tabla1[[#This Row],[Precio FOB]]</f>
        <v>7625</v>
      </c>
      <c r="Q78" s="35">
        <f>Tabla1[[#This Row],[Unidades]]*Tabla1[[#This Row],[Costo Unitario]]</f>
        <v>5307</v>
      </c>
      <c r="R78" s="25">
        <f>Tabla1[[#This Row],[Valor FOB (Free On Board)]]-Tabla1[[#This Row],[Costo total]]</f>
        <v>2318</v>
      </c>
      <c r="S78" s="16">
        <f>Tabla1[[#This Row],[Utilidad]]/Tabla1[[#This Row],[Valor FOB (Free On Board)]]</f>
        <v>0.30399999999999999</v>
      </c>
      <c r="T78" s="25" t="str">
        <f>IF(Tabla1[[#This Row],[Margen]]&gt;=30%,"Alta",IF(Tabla1[[#This Row],[Margen]]&gt;=15%,"Media","Baja"))</f>
        <v>Alta</v>
      </c>
      <c r="U78" s="25" t="str">
        <f>IF(Tabla1[[#This Row],[Valor FOB (Free On Board)]]&gt;=10000,"Grande",IF(Tabla1[[#This Row],[Valor FOB (Free On Board)]]&gt;=5000,"Mediana","Pequeña"))</f>
        <v>Mediana</v>
      </c>
      <c r="V7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79" spans="2:22" x14ac:dyDescent="0.3">
      <c r="B79" s="14" t="s">
        <v>125</v>
      </c>
      <c r="C79" s="7">
        <v>46289</v>
      </c>
      <c r="D79" s="5" t="s">
        <v>28</v>
      </c>
      <c r="E79" s="5" t="s">
        <v>10</v>
      </c>
      <c r="F79" s="5" t="s">
        <v>30</v>
      </c>
      <c r="G79" s="5">
        <v>840</v>
      </c>
      <c r="H79" s="25">
        <v>4.8</v>
      </c>
      <c r="I79" s="5">
        <v>3.2</v>
      </c>
      <c r="J79" s="15" t="s">
        <v>12</v>
      </c>
      <c r="K79" s="5" t="str">
        <f>VLOOKUP(E:E,'2. Productos'!$C$3:$F$8,2,FALSE)</f>
        <v>Miel natural</v>
      </c>
      <c r="L79" s="5" t="str">
        <f>VLOOKUP(E:E,'2. Productos'!$C$3:$E$8,3,FALSE)</f>
        <v>Apícola</v>
      </c>
      <c r="M79" s="5" t="str">
        <f>VLOOKUP(F:F,'3. Mercados'!$C$3:$F$9,2,FALSE)</f>
        <v>Norteamérica</v>
      </c>
      <c r="N79" s="16">
        <f>VLOOKUP(F:F,'3. Mercados'!$C$3:$F$9,3,FALSE)</f>
        <v>0.08</v>
      </c>
      <c r="O79" s="5" t="str">
        <f>VLOOKUP(F:F,'3. Mercados'!$C$3:$F$9,4,FALSE)</f>
        <v>Potencial</v>
      </c>
      <c r="P79" s="25">
        <f>Tabla1[[#This Row],[Unidades]]*Tabla1[[#This Row],[Precio FOB]]</f>
        <v>4032</v>
      </c>
      <c r="Q79" s="35">
        <f>Tabla1[[#This Row],[Unidades]]*Tabla1[[#This Row],[Costo Unitario]]</f>
        <v>2688</v>
      </c>
      <c r="R79" s="25">
        <f>Tabla1[[#This Row],[Valor FOB (Free On Board)]]-Tabla1[[#This Row],[Costo total]]</f>
        <v>1344</v>
      </c>
      <c r="S79" s="16">
        <f>Tabla1[[#This Row],[Utilidad]]/Tabla1[[#This Row],[Valor FOB (Free On Board)]]</f>
        <v>0.33333333333333331</v>
      </c>
      <c r="T79" s="25" t="str">
        <f>IF(Tabla1[[#This Row],[Margen]]&gt;=30%,"Alta",IF(Tabla1[[#This Row],[Margen]]&gt;=15%,"Media","Baja"))</f>
        <v>Alta</v>
      </c>
      <c r="U79" s="25" t="str">
        <f>IF(Tabla1[[#This Row],[Valor FOB (Free On Board)]]&gt;=10000,"Grande",IF(Tabla1[[#This Row],[Valor FOB (Free On Board)]]&gt;=5000,"Mediana","Pequeña"))</f>
        <v>Pequeña</v>
      </c>
      <c r="V7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80" spans="2:22" x14ac:dyDescent="0.3">
      <c r="B80" s="14" t="s">
        <v>126</v>
      </c>
      <c r="C80" s="7">
        <v>46298</v>
      </c>
      <c r="D80" s="5" t="s">
        <v>14</v>
      </c>
      <c r="E80" s="5" t="s">
        <v>24</v>
      </c>
      <c r="F80" s="5" t="s">
        <v>16</v>
      </c>
      <c r="G80" s="5">
        <v>1210</v>
      </c>
      <c r="H80" s="25">
        <v>7.1</v>
      </c>
      <c r="I80" s="5">
        <v>4.8</v>
      </c>
      <c r="J80" s="15" t="s">
        <v>17</v>
      </c>
      <c r="K80" s="5" t="str">
        <f>VLOOKUP(E:E,'2. Productos'!$C$3:$F$8,2,FALSE)</f>
        <v>Cacao en grano</v>
      </c>
      <c r="L80" s="5" t="str">
        <f>VLOOKUP(E:E,'2. Productos'!$C$3:$E$8,3,FALSE)</f>
        <v>Cacao</v>
      </c>
      <c r="M80" s="5" t="str">
        <f>VLOOKUP(F:F,'3. Mercados'!$C$3:$F$9,2,FALSE)</f>
        <v>Norteamérica</v>
      </c>
      <c r="N80" s="16">
        <f>VLOOKUP(F:F,'3. Mercados'!$C$3:$F$9,3,FALSE)</f>
        <v>0.05</v>
      </c>
      <c r="O80" s="5" t="str">
        <f>VLOOKUP(F:F,'3. Mercados'!$C$3:$F$9,4,FALSE)</f>
        <v>Estratégico</v>
      </c>
      <c r="P80" s="25">
        <f>Tabla1[[#This Row],[Unidades]]*Tabla1[[#This Row],[Precio FOB]]</f>
        <v>8591</v>
      </c>
      <c r="Q80" s="35">
        <f>Tabla1[[#This Row],[Unidades]]*Tabla1[[#This Row],[Costo Unitario]]</f>
        <v>5808</v>
      </c>
      <c r="R80" s="25">
        <f>Tabla1[[#This Row],[Valor FOB (Free On Board)]]-Tabla1[[#This Row],[Costo total]]</f>
        <v>2783</v>
      </c>
      <c r="S80" s="16">
        <f>Tabla1[[#This Row],[Utilidad]]/Tabla1[[#This Row],[Valor FOB (Free On Board)]]</f>
        <v>0.323943661971831</v>
      </c>
      <c r="T80" s="25" t="str">
        <f>IF(Tabla1[[#This Row],[Margen]]&gt;=30%,"Alta",IF(Tabla1[[#This Row],[Margen]]&gt;=15%,"Media","Baja"))</f>
        <v>Alta</v>
      </c>
      <c r="U80" s="25" t="str">
        <f>IF(Tabla1[[#This Row],[Valor FOB (Free On Board)]]&gt;=10000,"Grande",IF(Tabla1[[#This Row],[Valor FOB (Free On Board)]]&gt;=5000,"Mediana","Pequeña"))</f>
        <v>Mediana</v>
      </c>
      <c r="V8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81" spans="2:22" x14ac:dyDescent="0.3">
      <c r="B81" s="14" t="s">
        <v>127</v>
      </c>
      <c r="C81" s="7">
        <v>46307</v>
      </c>
      <c r="D81" s="5" t="s">
        <v>9</v>
      </c>
      <c r="E81" s="5" t="s">
        <v>15</v>
      </c>
      <c r="F81" s="5" t="s">
        <v>11</v>
      </c>
      <c r="G81" s="5">
        <v>1080</v>
      </c>
      <c r="H81" s="25">
        <v>6.5</v>
      </c>
      <c r="I81" s="5">
        <v>4.0999999999999996</v>
      </c>
      <c r="J81" s="15" t="s">
        <v>17</v>
      </c>
      <c r="K81" s="5" t="str">
        <f>VLOOKUP(E:E,'2. Productos'!$C$3:$F$8,2,FALSE)</f>
        <v>Café especial</v>
      </c>
      <c r="L81" s="5" t="str">
        <f>VLOOKUP(E:E,'2. Productos'!$C$3:$E$8,3,FALSE)</f>
        <v>Café</v>
      </c>
      <c r="M81" s="5" t="str">
        <f>VLOOKUP(F:F,'3. Mercados'!$C$3:$F$9,2,FALSE)</f>
        <v>Centroamérica</v>
      </c>
      <c r="N81" s="16">
        <f>VLOOKUP(F:F,'3. Mercados'!$C$3:$F$9,3,FALSE)</f>
        <v>0.03</v>
      </c>
      <c r="O81" s="5" t="str">
        <f>VLOOKUP(F:F,'3. Mercados'!$C$3:$F$9,4,FALSE)</f>
        <v>Estratégico</v>
      </c>
      <c r="P81" s="25">
        <f>Tabla1[[#This Row],[Unidades]]*Tabla1[[#This Row],[Precio FOB]]</f>
        <v>7020</v>
      </c>
      <c r="Q81" s="35">
        <f>Tabla1[[#This Row],[Unidades]]*Tabla1[[#This Row],[Costo Unitario]]</f>
        <v>4428</v>
      </c>
      <c r="R81" s="25">
        <f>Tabla1[[#This Row],[Valor FOB (Free On Board)]]-Tabla1[[#This Row],[Costo total]]</f>
        <v>2592</v>
      </c>
      <c r="S81" s="16">
        <f>Tabla1[[#This Row],[Utilidad]]/Tabla1[[#This Row],[Valor FOB (Free On Board)]]</f>
        <v>0.36923076923076925</v>
      </c>
      <c r="T81" s="25" t="str">
        <f>IF(Tabla1[[#This Row],[Margen]]&gt;=30%,"Alta",IF(Tabla1[[#This Row],[Margen]]&gt;=15%,"Media","Baja"))</f>
        <v>Alta</v>
      </c>
      <c r="U81" s="25" t="str">
        <f>IF(Tabla1[[#This Row],[Valor FOB (Free On Board)]]&gt;=10000,"Grande",IF(Tabla1[[#This Row],[Valor FOB (Free On Board)]]&gt;=5000,"Mediana","Pequeña"))</f>
        <v>Mediana</v>
      </c>
      <c r="V8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82" spans="2:22" x14ac:dyDescent="0.3">
      <c r="B82" s="14" t="s">
        <v>128</v>
      </c>
      <c r="C82" s="7">
        <v>46316</v>
      </c>
      <c r="D82" s="5" t="s">
        <v>19</v>
      </c>
      <c r="E82" s="5" t="s">
        <v>20</v>
      </c>
      <c r="F82" s="5" t="s">
        <v>21</v>
      </c>
      <c r="G82" s="5">
        <v>720</v>
      </c>
      <c r="H82" s="25">
        <v>8.1999999999999993</v>
      </c>
      <c r="I82" s="5">
        <v>5.9</v>
      </c>
      <c r="J82" s="15" t="s">
        <v>12</v>
      </c>
      <c r="K82" s="5" t="str">
        <f>VLOOKUP(E:E,'2. Productos'!$C$3:$F$8,2,FALSE)</f>
        <v>Maní procesado</v>
      </c>
      <c r="L82" s="5" t="str">
        <f>VLOOKUP(E:E,'2. Productos'!$C$3:$E$8,3,FALSE)</f>
        <v>Semillas</v>
      </c>
      <c r="M82" s="5" t="str">
        <f>VLOOKUP(F:F,'3. Mercados'!$C$3:$F$9,2,FALSE)</f>
        <v>Centroamérica</v>
      </c>
      <c r="N82" s="16">
        <f>VLOOKUP(F:F,'3. Mercados'!$C$3:$F$9,3,FALSE)</f>
        <v>0.02</v>
      </c>
      <c r="O82" s="5" t="str">
        <f>VLOOKUP(F:F,'3. Mercados'!$C$3:$F$9,4,FALSE)</f>
        <v>Estratégico</v>
      </c>
      <c r="P82" s="25">
        <f>Tabla1[[#This Row],[Unidades]]*Tabla1[[#This Row],[Precio FOB]]</f>
        <v>5903.9999999999991</v>
      </c>
      <c r="Q82" s="35">
        <f>Tabla1[[#This Row],[Unidades]]*Tabla1[[#This Row],[Costo Unitario]]</f>
        <v>4248</v>
      </c>
      <c r="R82" s="25">
        <f>Tabla1[[#This Row],[Valor FOB (Free On Board)]]-Tabla1[[#This Row],[Costo total]]</f>
        <v>1655.9999999999991</v>
      </c>
      <c r="S82" s="16">
        <f>Tabla1[[#This Row],[Utilidad]]/Tabla1[[#This Row],[Valor FOB (Free On Board)]]</f>
        <v>0.2804878048780487</v>
      </c>
      <c r="T82" s="25" t="str">
        <f>IF(Tabla1[[#This Row],[Margen]]&gt;=30%,"Alta",IF(Tabla1[[#This Row],[Margen]]&gt;=15%,"Media","Baja"))</f>
        <v>Media</v>
      </c>
      <c r="U82" s="25" t="str">
        <f>IF(Tabla1[[#This Row],[Valor FOB (Free On Board)]]&gt;=10000,"Grande",IF(Tabla1[[#This Row],[Valor FOB (Free On Board)]]&gt;=5000,"Mediana","Pequeña"))</f>
        <v>Mediana</v>
      </c>
      <c r="V8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83" spans="2:22" x14ac:dyDescent="0.3">
      <c r="B83" s="14" t="s">
        <v>129</v>
      </c>
      <c r="C83" s="7">
        <v>46325</v>
      </c>
      <c r="D83" s="5" t="s">
        <v>23</v>
      </c>
      <c r="E83" s="5" t="s">
        <v>10</v>
      </c>
      <c r="F83" s="5" t="s">
        <v>25</v>
      </c>
      <c r="G83" s="5">
        <v>1160</v>
      </c>
      <c r="H83" s="25">
        <v>4.8</v>
      </c>
      <c r="I83" s="5">
        <v>3.2</v>
      </c>
      <c r="J83" s="15" t="s">
        <v>26</v>
      </c>
      <c r="K83" s="5" t="str">
        <f>VLOOKUP(E:E,'2. Productos'!$C$3:$F$8,2,FALSE)</f>
        <v>Miel natural</v>
      </c>
      <c r="L83" s="5" t="str">
        <f>VLOOKUP(E:E,'2. Productos'!$C$3:$E$8,3,FALSE)</f>
        <v>Apícola</v>
      </c>
      <c r="M83" s="5" t="str">
        <f>VLOOKUP(F:F,'3. Mercados'!$C$3:$F$9,2,FALSE)</f>
        <v>Europa</v>
      </c>
      <c r="N83" s="16">
        <f>VLOOKUP(F:F,'3. Mercados'!$C$3:$F$9,3,FALSE)</f>
        <v>0.1</v>
      </c>
      <c r="O83" s="5" t="str">
        <f>VLOOKUP(F:F,'3. Mercados'!$C$3:$F$9,4,FALSE)</f>
        <v>Potencial</v>
      </c>
      <c r="P83" s="25">
        <f>Tabla1[[#This Row],[Unidades]]*Tabla1[[#This Row],[Precio FOB]]</f>
        <v>5568</v>
      </c>
      <c r="Q83" s="35">
        <f>Tabla1[[#This Row],[Unidades]]*Tabla1[[#This Row],[Costo Unitario]]</f>
        <v>3712</v>
      </c>
      <c r="R83" s="25">
        <f>Tabla1[[#This Row],[Valor FOB (Free On Board)]]-Tabla1[[#This Row],[Costo total]]</f>
        <v>1856</v>
      </c>
      <c r="S83" s="16">
        <f>Tabla1[[#This Row],[Utilidad]]/Tabla1[[#This Row],[Valor FOB (Free On Board)]]</f>
        <v>0.33333333333333331</v>
      </c>
      <c r="T83" s="25" t="str">
        <f>IF(Tabla1[[#This Row],[Margen]]&gt;=30%,"Alta",IF(Tabla1[[#This Row],[Margen]]&gt;=15%,"Media","Baja"))</f>
        <v>Alta</v>
      </c>
      <c r="U83" s="25" t="str">
        <f>IF(Tabla1[[#This Row],[Valor FOB (Free On Board)]]&gt;=10000,"Grande",IF(Tabla1[[#This Row],[Valor FOB (Free On Board)]]&gt;=5000,"Mediana","Pequeña"))</f>
        <v>Mediana</v>
      </c>
      <c r="V8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84" spans="2:22" x14ac:dyDescent="0.3">
      <c r="B84" s="14" t="s">
        <v>130</v>
      </c>
      <c r="C84" s="7">
        <v>46334</v>
      </c>
      <c r="D84" s="5" t="s">
        <v>28</v>
      </c>
      <c r="E84" s="5" t="s">
        <v>29</v>
      </c>
      <c r="F84" s="5" t="s">
        <v>30</v>
      </c>
      <c r="G84" s="5">
        <v>560</v>
      </c>
      <c r="H84" s="25">
        <v>12.5</v>
      </c>
      <c r="I84" s="5">
        <v>8.6999999999999993</v>
      </c>
      <c r="J84" s="15" t="s">
        <v>17</v>
      </c>
      <c r="K84" s="5" t="str">
        <f>VLOOKUP(E:E,'2. Productos'!$C$3:$F$8,2,FALSE)</f>
        <v>Aceite de ajonjolí</v>
      </c>
      <c r="L84" s="5" t="str">
        <f>VLOOKUP(E:E,'2. Productos'!$C$3:$E$8,3,FALSE)</f>
        <v>Aceites</v>
      </c>
      <c r="M84" s="5" t="str">
        <f>VLOOKUP(F:F,'3. Mercados'!$C$3:$F$9,2,FALSE)</f>
        <v>Norteamérica</v>
      </c>
      <c r="N84" s="16">
        <f>VLOOKUP(F:F,'3. Mercados'!$C$3:$F$9,3,FALSE)</f>
        <v>0.08</v>
      </c>
      <c r="O84" s="5" t="str">
        <f>VLOOKUP(F:F,'3. Mercados'!$C$3:$F$9,4,FALSE)</f>
        <v>Potencial</v>
      </c>
      <c r="P84" s="25">
        <f>Tabla1[[#This Row],[Unidades]]*Tabla1[[#This Row],[Precio FOB]]</f>
        <v>7000</v>
      </c>
      <c r="Q84" s="35">
        <f>Tabla1[[#This Row],[Unidades]]*Tabla1[[#This Row],[Costo Unitario]]</f>
        <v>4872</v>
      </c>
      <c r="R84" s="25">
        <f>Tabla1[[#This Row],[Valor FOB (Free On Board)]]-Tabla1[[#This Row],[Costo total]]</f>
        <v>2128</v>
      </c>
      <c r="S84" s="16">
        <f>Tabla1[[#This Row],[Utilidad]]/Tabla1[[#This Row],[Valor FOB (Free On Board)]]</f>
        <v>0.30399999999999999</v>
      </c>
      <c r="T84" s="25" t="str">
        <f>IF(Tabla1[[#This Row],[Margen]]&gt;=30%,"Alta",IF(Tabla1[[#This Row],[Margen]]&gt;=15%,"Media","Baja"))</f>
        <v>Alta</v>
      </c>
      <c r="U84" s="25" t="str">
        <f>IF(Tabla1[[#This Row],[Valor FOB (Free On Board)]]&gt;=10000,"Grande",IF(Tabla1[[#This Row],[Valor FOB (Free On Board)]]&gt;=5000,"Mediana","Pequeña"))</f>
        <v>Mediana</v>
      </c>
      <c r="V8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85" spans="2:22" x14ac:dyDescent="0.3">
      <c r="B85" s="14" t="s">
        <v>131</v>
      </c>
      <c r="C85" s="7">
        <v>46343</v>
      </c>
      <c r="D85" s="5" t="s">
        <v>14</v>
      </c>
      <c r="E85" s="5" t="s">
        <v>15</v>
      </c>
      <c r="F85" s="5" t="s">
        <v>16</v>
      </c>
      <c r="G85" s="5">
        <v>1380</v>
      </c>
      <c r="H85" s="25">
        <v>6.5</v>
      </c>
      <c r="I85" s="5">
        <v>4.0999999999999996</v>
      </c>
      <c r="J85" s="15" t="s">
        <v>12</v>
      </c>
      <c r="K85" s="5" t="str">
        <f>VLOOKUP(E:E,'2. Productos'!$C$3:$F$8,2,FALSE)</f>
        <v>Café especial</v>
      </c>
      <c r="L85" s="5" t="str">
        <f>VLOOKUP(E:E,'2. Productos'!$C$3:$E$8,3,FALSE)</f>
        <v>Café</v>
      </c>
      <c r="M85" s="5" t="str">
        <f>VLOOKUP(F:F,'3. Mercados'!$C$3:$F$9,2,FALSE)</f>
        <v>Norteamérica</v>
      </c>
      <c r="N85" s="16">
        <f>VLOOKUP(F:F,'3. Mercados'!$C$3:$F$9,3,FALSE)</f>
        <v>0.05</v>
      </c>
      <c r="O85" s="5" t="str">
        <f>VLOOKUP(F:F,'3. Mercados'!$C$3:$F$9,4,FALSE)</f>
        <v>Estratégico</v>
      </c>
      <c r="P85" s="25">
        <f>Tabla1[[#This Row],[Unidades]]*Tabla1[[#This Row],[Precio FOB]]</f>
        <v>8970</v>
      </c>
      <c r="Q85" s="35">
        <f>Tabla1[[#This Row],[Unidades]]*Tabla1[[#This Row],[Costo Unitario]]</f>
        <v>5657.9999999999991</v>
      </c>
      <c r="R85" s="25">
        <f>Tabla1[[#This Row],[Valor FOB (Free On Board)]]-Tabla1[[#This Row],[Costo total]]</f>
        <v>3312.0000000000009</v>
      </c>
      <c r="S85" s="16">
        <f>Tabla1[[#This Row],[Utilidad]]/Tabla1[[#This Row],[Valor FOB (Free On Board)]]</f>
        <v>0.36923076923076931</v>
      </c>
      <c r="T85" s="25" t="str">
        <f>IF(Tabla1[[#This Row],[Margen]]&gt;=30%,"Alta",IF(Tabla1[[#This Row],[Margen]]&gt;=15%,"Media","Baja"))</f>
        <v>Alta</v>
      </c>
      <c r="U85" s="25" t="str">
        <f>IF(Tabla1[[#This Row],[Valor FOB (Free On Board)]]&gt;=10000,"Grande",IF(Tabla1[[#This Row],[Valor FOB (Free On Board)]]&gt;=5000,"Mediana","Pequeña"))</f>
        <v>Mediana</v>
      </c>
      <c r="V8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86" spans="2:22" x14ac:dyDescent="0.3">
      <c r="B86" s="14" t="s">
        <v>132</v>
      </c>
      <c r="C86" s="7">
        <v>46352</v>
      </c>
      <c r="D86" s="5" t="s">
        <v>9</v>
      </c>
      <c r="E86" s="5" t="s">
        <v>24</v>
      </c>
      <c r="F86" s="5" t="s">
        <v>11</v>
      </c>
      <c r="G86" s="5">
        <v>940</v>
      </c>
      <c r="H86" s="25">
        <v>7.1</v>
      </c>
      <c r="I86" s="5">
        <v>4.8</v>
      </c>
      <c r="J86" s="15" t="s">
        <v>17</v>
      </c>
      <c r="K86" s="5" t="str">
        <f>VLOOKUP(E:E,'2. Productos'!$C$3:$F$8,2,FALSE)</f>
        <v>Cacao en grano</v>
      </c>
      <c r="L86" s="5" t="str">
        <f>VLOOKUP(E:E,'2. Productos'!$C$3:$E$8,3,FALSE)</f>
        <v>Cacao</v>
      </c>
      <c r="M86" s="5" t="str">
        <f>VLOOKUP(F:F,'3. Mercados'!$C$3:$F$9,2,FALSE)</f>
        <v>Centroamérica</v>
      </c>
      <c r="N86" s="16">
        <f>VLOOKUP(F:F,'3. Mercados'!$C$3:$F$9,3,FALSE)</f>
        <v>0.03</v>
      </c>
      <c r="O86" s="5" t="str">
        <f>VLOOKUP(F:F,'3. Mercados'!$C$3:$F$9,4,FALSE)</f>
        <v>Estratégico</v>
      </c>
      <c r="P86" s="25">
        <f>Tabla1[[#This Row],[Unidades]]*Tabla1[[#This Row],[Precio FOB]]</f>
        <v>6674</v>
      </c>
      <c r="Q86" s="35">
        <f>Tabla1[[#This Row],[Unidades]]*Tabla1[[#This Row],[Costo Unitario]]</f>
        <v>4512</v>
      </c>
      <c r="R86" s="25">
        <f>Tabla1[[#This Row],[Valor FOB (Free On Board)]]-Tabla1[[#This Row],[Costo total]]</f>
        <v>2162</v>
      </c>
      <c r="S86" s="16">
        <f>Tabla1[[#This Row],[Utilidad]]/Tabla1[[#This Row],[Valor FOB (Free On Board)]]</f>
        <v>0.323943661971831</v>
      </c>
      <c r="T86" s="25" t="str">
        <f>IF(Tabla1[[#This Row],[Margen]]&gt;=30%,"Alta",IF(Tabla1[[#This Row],[Margen]]&gt;=15%,"Media","Baja"))</f>
        <v>Alta</v>
      </c>
      <c r="U86" s="25" t="str">
        <f>IF(Tabla1[[#This Row],[Valor FOB (Free On Board)]]&gt;=10000,"Grande",IF(Tabla1[[#This Row],[Valor FOB (Free On Board)]]&gt;=5000,"Mediana","Pequeña"))</f>
        <v>Mediana</v>
      </c>
      <c r="V8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87" spans="2:22" x14ac:dyDescent="0.3">
      <c r="B87" s="14" t="s">
        <v>133</v>
      </c>
      <c r="C87" s="7">
        <v>46361</v>
      </c>
      <c r="D87" s="5" t="s">
        <v>19</v>
      </c>
      <c r="E87" s="5" t="s">
        <v>10</v>
      </c>
      <c r="F87" s="5" t="s">
        <v>21</v>
      </c>
      <c r="G87" s="5">
        <v>870</v>
      </c>
      <c r="H87" s="25">
        <v>4.8</v>
      </c>
      <c r="I87" s="5">
        <v>3.2</v>
      </c>
      <c r="J87" s="15" t="s">
        <v>12</v>
      </c>
      <c r="K87" s="5" t="str">
        <f>VLOOKUP(E:E,'2. Productos'!$C$3:$F$8,2,FALSE)</f>
        <v>Miel natural</v>
      </c>
      <c r="L87" s="5" t="str">
        <f>VLOOKUP(E:E,'2. Productos'!$C$3:$E$8,3,FALSE)</f>
        <v>Apícola</v>
      </c>
      <c r="M87" s="5" t="str">
        <f>VLOOKUP(F:F,'3. Mercados'!$C$3:$F$9,2,FALSE)</f>
        <v>Centroamérica</v>
      </c>
      <c r="N87" s="16">
        <f>VLOOKUP(F:F,'3. Mercados'!$C$3:$F$9,3,FALSE)</f>
        <v>0.02</v>
      </c>
      <c r="O87" s="5" t="str">
        <f>VLOOKUP(F:F,'3. Mercados'!$C$3:$F$9,4,FALSE)</f>
        <v>Estratégico</v>
      </c>
      <c r="P87" s="25">
        <f>Tabla1[[#This Row],[Unidades]]*Tabla1[[#This Row],[Precio FOB]]</f>
        <v>4176</v>
      </c>
      <c r="Q87" s="35">
        <f>Tabla1[[#This Row],[Unidades]]*Tabla1[[#This Row],[Costo Unitario]]</f>
        <v>2784</v>
      </c>
      <c r="R87" s="25">
        <f>Tabla1[[#This Row],[Valor FOB (Free On Board)]]-Tabla1[[#This Row],[Costo total]]</f>
        <v>1392</v>
      </c>
      <c r="S87" s="16">
        <f>Tabla1[[#This Row],[Utilidad]]/Tabla1[[#This Row],[Valor FOB (Free On Board)]]</f>
        <v>0.33333333333333331</v>
      </c>
      <c r="T87" s="25" t="str">
        <f>IF(Tabla1[[#This Row],[Margen]]&gt;=30%,"Alta",IF(Tabla1[[#This Row],[Margen]]&gt;=15%,"Media","Baja"))</f>
        <v>Alta</v>
      </c>
      <c r="U87" s="25" t="str">
        <f>IF(Tabla1[[#This Row],[Valor FOB (Free On Board)]]&gt;=10000,"Grande",IF(Tabla1[[#This Row],[Valor FOB (Free On Board)]]&gt;=5000,"Mediana","Pequeña"))</f>
        <v>Pequeña</v>
      </c>
      <c r="V8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88" spans="2:22" x14ac:dyDescent="0.3">
      <c r="B88" s="14" t="s">
        <v>134</v>
      </c>
      <c r="C88" s="7">
        <v>46370</v>
      </c>
      <c r="D88" s="5" t="s">
        <v>23</v>
      </c>
      <c r="E88" s="5" t="s">
        <v>20</v>
      </c>
      <c r="F88" s="5" t="s">
        <v>25</v>
      </c>
      <c r="G88" s="5">
        <v>810</v>
      </c>
      <c r="H88" s="25">
        <v>8.1999999999999993</v>
      </c>
      <c r="I88" s="5">
        <v>5.9</v>
      </c>
      <c r="J88" s="15" t="s">
        <v>17</v>
      </c>
      <c r="K88" s="5" t="str">
        <f>VLOOKUP(E:E,'2. Productos'!$C$3:$F$8,2,FALSE)</f>
        <v>Maní procesado</v>
      </c>
      <c r="L88" s="5" t="str">
        <f>VLOOKUP(E:E,'2. Productos'!$C$3:$E$8,3,FALSE)</f>
        <v>Semillas</v>
      </c>
      <c r="M88" s="5" t="str">
        <f>VLOOKUP(F:F,'3. Mercados'!$C$3:$F$9,2,FALSE)</f>
        <v>Europa</v>
      </c>
      <c r="N88" s="16">
        <f>VLOOKUP(F:F,'3. Mercados'!$C$3:$F$9,3,FALSE)</f>
        <v>0.1</v>
      </c>
      <c r="O88" s="5" t="str">
        <f>VLOOKUP(F:F,'3. Mercados'!$C$3:$F$9,4,FALSE)</f>
        <v>Potencial</v>
      </c>
      <c r="P88" s="25">
        <f>Tabla1[[#This Row],[Unidades]]*Tabla1[[#This Row],[Precio FOB]]</f>
        <v>6641.9999999999991</v>
      </c>
      <c r="Q88" s="35">
        <f>Tabla1[[#This Row],[Unidades]]*Tabla1[[#This Row],[Costo Unitario]]</f>
        <v>4779</v>
      </c>
      <c r="R88" s="25">
        <f>Tabla1[[#This Row],[Valor FOB (Free On Board)]]-Tabla1[[#This Row],[Costo total]]</f>
        <v>1862.9999999999991</v>
      </c>
      <c r="S88" s="16">
        <f>Tabla1[[#This Row],[Utilidad]]/Tabla1[[#This Row],[Valor FOB (Free On Board)]]</f>
        <v>0.2804878048780487</v>
      </c>
      <c r="T88" s="25" t="str">
        <f>IF(Tabla1[[#This Row],[Margen]]&gt;=30%,"Alta",IF(Tabla1[[#This Row],[Margen]]&gt;=15%,"Media","Baja"))</f>
        <v>Media</v>
      </c>
      <c r="U88" s="25" t="str">
        <f>IF(Tabla1[[#This Row],[Valor FOB (Free On Board)]]&gt;=10000,"Grande",IF(Tabla1[[#This Row],[Valor FOB (Free On Board)]]&gt;=5000,"Mediana","Pequeña"))</f>
        <v>Mediana</v>
      </c>
      <c r="V8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Baja</v>
      </c>
    </row>
    <row r="89" spans="2:22" x14ac:dyDescent="0.3">
      <c r="B89" s="14" t="s">
        <v>135</v>
      </c>
      <c r="C89" s="7">
        <v>46379</v>
      </c>
      <c r="D89" s="5" t="s">
        <v>28</v>
      </c>
      <c r="E89" s="5" t="s">
        <v>15</v>
      </c>
      <c r="F89" s="5" t="s">
        <v>30</v>
      </c>
      <c r="G89" s="5">
        <v>990</v>
      </c>
      <c r="H89" s="25">
        <v>6.5</v>
      </c>
      <c r="I89" s="5">
        <v>4.0999999999999996</v>
      </c>
      <c r="J89" s="15" t="s">
        <v>26</v>
      </c>
      <c r="K89" s="5" t="str">
        <f>VLOOKUP(E:E,'2. Productos'!$C$3:$F$8,2,FALSE)</f>
        <v>Café especial</v>
      </c>
      <c r="L89" s="5" t="str">
        <f>VLOOKUP(E:E,'2. Productos'!$C$3:$E$8,3,FALSE)</f>
        <v>Café</v>
      </c>
      <c r="M89" s="5" t="str">
        <f>VLOOKUP(F:F,'3. Mercados'!$C$3:$F$9,2,FALSE)</f>
        <v>Norteamérica</v>
      </c>
      <c r="N89" s="16">
        <f>VLOOKUP(F:F,'3. Mercados'!$C$3:$F$9,3,FALSE)</f>
        <v>0.08</v>
      </c>
      <c r="O89" s="5" t="str">
        <f>VLOOKUP(F:F,'3. Mercados'!$C$3:$F$9,4,FALSE)</f>
        <v>Potencial</v>
      </c>
      <c r="P89" s="25">
        <f>Tabla1[[#This Row],[Unidades]]*Tabla1[[#This Row],[Precio FOB]]</f>
        <v>6435</v>
      </c>
      <c r="Q89" s="35">
        <f>Tabla1[[#This Row],[Unidades]]*Tabla1[[#This Row],[Costo Unitario]]</f>
        <v>4058.9999999999995</v>
      </c>
      <c r="R89" s="25">
        <f>Tabla1[[#This Row],[Valor FOB (Free On Board)]]-Tabla1[[#This Row],[Costo total]]</f>
        <v>2376.0000000000005</v>
      </c>
      <c r="S89" s="16">
        <f>Tabla1[[#This Row],[Utilidad]]/Tabla1[[#This Row],[Valor FOB (Free On Board)]]</f>
        <v>0.36923076923076931</v>
      </c>
      <c r="T89" s="25" t="str">
        <f>IF(Tabla1[[#This Row],[Margen]]&gt;=30%,"Alta",IF(Tabla1[[#This Row],[Margen]]&gt;=15%,"Media","Baja"))</f>
        <v>Alta</v>
      </c>
      <c r="U89" s="25" t="str">
        <f>IF(Tabla1[[#This Row],[Valor FOB (Free On Board)]]&gt;=10000,"Grande",IF(Tabla1[[#This Row],[Valor FOB (Free On Board)]]&gt;=5000,"Mediana","Pequeña"))</f>
        <v>Mediana</v>
      </c>
      <c r="V8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90" spans="2:22" x14ac:dyDescent="0.3">
      <c r="B90" s="14" t="s">
        <v>136</v>
      </c>
      <c r="C90" s="7">
        <v>46386</v>
      </c>
      <c r="D90" s="5" t="s">
        <v>14</v>
      </c>
      <c r="E90" s="5" t="s">
        <v>29</v>
      </c>
      <c r="F90" s="5" t="s">
        <v>16</v>
      </c>
      <c r="G90" s="5">
        <v>730</v>
      </c>
      <c r="H90" s="25">
        <v>12.5</v>
      </c>
      <c r="I90" s="5">
        <v>8.6999999999999993</v>
      </c>
      <c r="J90" s="15" t="s">
        <v>17</v>
      </c>
      <c r="K90" s="5" t="str">
        <f>VLOOKUP(E:E,'2. Productos'!$C$3:$F$8,2,FALSE)</f>
        <v>Aceite de ajonjolí</v>
      </c>
      <c r="L90" s="5" t="str">
        <f>VLOOKUP(E:E,'2. Productos'!$C$3:$E$8,3,FALSE)</f>
        <v>Aceites</v>
      </c>
      <c r="M90" s="5" t="str">
        <f>VLOOKUP(F:F,'3. Mercados'!$C$3:$F$9,2,FALSE)</f>
        <v>Norteamérica</v>
      </c>
      <c r="N90" s="16">
        <f>VLOOKUP(F:F,'3. Mercados'!$C$3:$F$9,3,FALSE)</f>
        <v>0.05</v>
      </c>
      <c r="O90" s="5" t="str">
        <f>VLOOKUP(F:F,'3. Mercados'!$C$3:$F$9,4,FALSE)</f>
        <v>Estratégico</v>
      </c>
      <c r="P90" s="25">
        <f>Tabla1[[#This Row],[Unidades]]*Tabla1[[#This Row],[Precio FOB]]</f>
        <v>9125</v>
      </c>
      <c r="Q90" s="35">
        <f>Tabla1[[#This Row],[Unidades]]*Tabla1[[#This Row],[Costo Unitario]]</f>
        <v>6350.9999999999991</v>
      </c>
      <c r="R90" s="25">
        <f>Tabla1[[#This Row],[Valor FOB (Free On Board)]]-Tabla1[[#This Row],[Costo total]]</f>
        <v>2774.0000000000009</v>
      </c>
      <c r="S90" s="16">
        <f>Tabla1[[#This Row],[Utilidad]]/Tabla1[[#This Row],[Valor FOB (Free On Board)]]</f>
        <v>0.3040000000000001</v>
      </c>
      <c r="T90" s="25" t="str">
        <f>IF(Tabla1[[#This Row],[Margen]]&gt;=30%,"Alta",IF(Tabla1[[#This Row],[Margen]]&gt;=15%,"Media","Baja"))</f>
        <v>Alta</v>
      </c>
      <c r="U90" s="25" t="str">
        <f>IF(Tabla1[[#This Row],[Valor FOB (Free On Board)]]&gt;=10000,"Grande",IF(Tabla1[[#This Row],[Valor FOB (Free On Board)]]&gt;=5000,"Mediana","Pequeña"))</f>
        <v>Mediana</v>
      </c>
      <c r="V9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91" spans="2:22" x14ac:dyDescent="0.3">
      <c r="B91" s="14" t="s">
        <v>137</v>
      </c>
      <c r="C91" s="7">
        <v>46029</v>
      </c>
      <c r="D91" s="5" t="s">
        <v>9</v>
      </c>
      <c r="E91" s="5" t="s">
        <v>20</v>
      </c>
      <c r="F91" s="5" t="s">
        <v>11</v>
      </c>
      <c r="G91" s="5">
        <v>780</v>
      </c>
      <c r="H91" s="25">
        <v>8.1999999999999993</v>
      </c>
      <c r="I91" s="5">
        <v>5.9</v>
      </c>
      <c r="J91" s="15" t="s">
        <v>12</v>
      </c>
      <c r="K91" s="5" t="str">
        <f>VLOOKUP(E:E,'2. Productos'!$C$3:$F$8,2,FALSE)</f>
        <v>Maní procesado</v>
      </c>
      <c r="L91" s="5" t="str">
        <f>VLOOKUP(E:E,'2. Productos'!$C$3:$E$8,3,FALSE)</f>
        <v>Semillas</v>
      </c>
      <c r="M91" s="5" t="str">
        <f>VLOOKUP(F:F,'3. Mercados'!$C$3:$F$9,2,FALSE)</f>
        <v>Centroamérica</v>
      </c>
      <c r="N91" s="16">
        <f>VLOOKUP(F:F,'3. Mercados'!$C$3:$F$9,3,FALSE)</f>
        <v>0.03</v>
      </c>
      <c r="O91" s="5" t="str">
        <f>VLOOKUP(F:F,'3. Mercados'!$C$3:$F$9,4,FALSE)</f>
        <v>Estratégico</v>
      </c>
      <c r="P91" s="25">
        <f>Tabla1[[#This Row],[Unidades]]*Tabla1[[#This Row],[Precio FOB]]</f>
        <v>6395.9999999999991</v>
      </c>
      <c r="Q91" s="35">
        <f>Tabla1[[#This Row],[Unidades]]*Tabla1[[#This Row],[Costo Unitario]]</f>
        <v>4602</v>
      </c>
      <c r="R91" s="25">
        <f>Tabla1[[#This Row],[Valor FOB (Free On Board)]]-Tabla1[[#This Row],[Costo total]]</f>
        <v>1793.9999999999991</v>
      </c>
      <c r="S91" s="16">
        <f>Tabla1[[#This Row],[Utilidad]]/Tabla1[[#This Row],[Valor FOB (Free On Board)]]</f>
        <v>0.2804878048780487</v>
      </c>
      <c r="T91" s="25" t="str">
        <f>IF(Tabla1[[#This Row],[Margen]]&gt;=30%,"Alta",IF(Tabla1[[#This Row],[Margen]]&gt;=15%,"Media","Baja"))</f>
        <v>Media</v>
      </c>
      <c r="U91" s="25" t="str">
        <f>IF(Tabla1[[#This Row],[Valor FOB (Free On Board)]]&gt;=10000,"Grande",IF(Tabla1[[#This Row],[Valor FOB (Free On Board)]]&gt;=5000,"Mediana","Pequeña"))</f>
        <v>Mediana</v>
      </c>
      <c r="V9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92" spans="2:22" x14ac:dyDescent="0.3">
      <c r="B92" s="14" t="s">
        <v>138</v>
      </c>
      <c r="C92" s="7">
        <v>46038</v>
      </c>
      <c r="D92" s="5" t="s">
        <v>19</v>
      </c>
      <c r="E92" s="5" t="s">
        <v>10</v>
      </c>
      <c r="F92" s="5" t="s">
        <v>21</v>
      </c>
      <c r="G92" s="5">
        <v>930</v>
      </c>
      <c r="H92" s="25">
        <v>4.8</v>
      </c>
      <c r="I92" s="5">
        <v>3.2</v>
      </c>
      <c r="J92" s="15" t="s">
        <v>17</v>
      </c>
      <c r="K92" s="5" t="str">
        <f>VLOOKUP(E:E,'2. Productos'!$C$3:$F$8,2,FALSE)</f>
        <v>Miel natural</v>
      </c>
      <c r="L92" s="5" t="str">
        <f>VLOOKUP(E:E,'2. Productos'!$C$3:$E$8,3,FALSE)</f>
        <v>Apícola</v>
      </c>
      <c r="M92" s="5" t="str">
        <f>VLOOKUP(F:F,'3. Mercados'!$C$3:$F$9,2,FALSE)</f>
        <v>Centroamérica</v>
      </c>
      <c r="N92" s="16">
        <f>VLOOKUP(F:F,'3. Mercados'!$C$3:$F$9,3,FALSE)</f>
        <v>0.02</v>
      </c>
      <c r="O92" s="5" t="str">
        <f>VLOOKUP(F:F,'3. Mercados'!$C$3:$F$9,4,FALSE)</f>
        <v>Estratégico</v>
      </c>
      <c r="P92" s="25">
        <f>Tabla1[[#This Row],[Unidades]]*Tabla1[[#This Row],[Precio FOB]]</f>
        <v>4464</v>
      </c>
      <c r="Q92" s="35">
        <f>Tabla1[[#This Row],[Unidades]]*Tabla1[[#This Row],[Costo Unitario]]</f>
        <v>2976</v>
      </c>
      <c r="R92" s="25">
        <f>Tabla1[[#This Row],[Valor FOB (Free On Board)]]-Tabla1[[#This Row],[Costo total]]</f>
        <v>1488</v>
      </c>
      <c r="S92" s="16">
        <f>Tabla1[[#This Row],[Utilidad]]/Tabla1[[#This Row],[Valor FOB (Free On Board)]]</f>
        <v>0.33333333333333331</v>
      </c>
      <c r="T92" s="25" t="str">
        <f>IF(Tabla1[[#This Row],[Margen]]&gt;=30%,"Alta",IF(Tabla1[[#This Row],[Margen]]&gt;=15%,"Media","Baja"))</f>
        <v>Alta</v>
      </c>
      <c r="U92" s="25" t="str">
        <f>IF(Tabla1[[#This Row],[Valor FOB (Free On Board)]]&gt;=10000,"Grande",IF(Tabla1[[#This Row],[Valor FOB (Free On Board)]]&gt;=5000,"Mediana","Pequeña"))</f>
        <v>Pequeña</v>
      </c>
      <c r="V9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93" spans="2:22" x14ac:dyDescent="0.3">
      <c r="B93" s="14" t="s">
        <v>139</v>
      </c>
      <c r="C93" s="7">
        <v>46047</v>
      </c>
      <c r="D93" s="5" t="s">
        <v>23</v>
      </c>
      <c r="E93" s="5" t="s">
        <v>24</v>
      </c>
      <c r="F93" s="5" t="s">
        <v>25</v>
      </c>
      <c r="G93" s="5">
        <v>870</v>
      </c>
      <c r="H93" s="25">
        <v>7.1</v>
      </c>
      <c r="I93" s="5">
        <v>4.8</v>
      </c>
      <c r="J93" s="15" t="s">
        <v>26</v>
      </c>
      <c r="K93" s="5" t="str">
        <f>VLOOKUP(E:E,'2. Productos'!$C$3:$F$8,2,FALSE)</f>
        <v>Cacao en grano</v>
      </c>
      <c r="L93" s="5" t="str">
        <f>VLOOKUP(E:E,'2. Productos'!$C$3:$E$8,3,FALSE)</f>
        <v>Cacao</v>
      </c>
      <c r="M93" s="5" t="str">
        <f>VLOOKUP(F:F,'3. Mercados'!$C$3:$F$9,2,FALSE)</f>
        <v>Europa</v>
      </c>
      <c r="N93" s="16">
        <f>VLOOKUP(F:F,'3. Mercados'!$C$3:$F$9,3,FALSE)</f>
        <v>0.1</v>
      </c>
      <c r="O93" s="5" t="str">
        <f>VLOOKUP(F:F,'3. Mercados'!$C$3:$F$9,4,FALSE)</f>
        <v>Potencial</v>
      </c>
      <c r="P93" s="25">
        <f>Tabla1[[#This Row],[Unidades]]*Tabla1[[#This Row],[Precio FOB]]</f>
        <v>6177</v>
      </c>
      <c r="Q93" s="35">
        <f>Tabla1[[#This Row],[Unidades]]*Tabla1[[#This Row],[Costo Unitario]]</f>
        <v>4176</v>
      </c>
      <c r="R93" s="25">
        <f>Tabla1[[#This Row],[Valor FOB (Free On Board)]]-Tabla1[[#This Row],[Costo total]]</f>
        <v>2001</v>
      </c>
      <c r="S93" s="16">
        <f>Tabla1[[#This Row],[Utilidad]]/Tabla1[[#This Row],[Valor FOB (Free On Board)]]</f>
        <v>0.323943661971831</v>
      </c>
      <c r="T93" s="25" t="str">
        <f>IF(Tabla1[[#This Row],[Margen]]&gt;=30%,"Alta",IF(Tabla1[[#This Row],[Margen]]&gt;=15%,"Media","Baja"))</f>
        <v>Alta</v>
      </c>
      <c r="U93" s="25" t="str">
        <f>IF(Tabla1[[#This Row],[Valor FOB (Free On Board)]]&gt;=10000,"Grande",IF(Tabla1[[#This Row],[Valor FOB (Free On Board)]]&gt;=5000,"Mediana","Pequeña"))</f>
        <v>Mediana</v>
      </c>
      <c r="V9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94" spans="2:22" x14ac:dyDescent="0.3">
      <c r="B94" s="14" t="s">
        <v>140</v>
      </c>
      <c r="C94" s="7">
        <v>46059</v>
      </c>
      <c r="D94" s="5" t="s">
        <v>28</v>
      </c>
      <c r="E94" s="5" t="s">
        <v>29</v>
      </c>
      <c r="F94" s="5" t="s">
        <v>30</v>
      </c>
      <c r="G94" s="5">
        <v>480</v>
      </c>
      <c r="H94" s="25">
        <v>12.5</v>
      </c>
      <c r="I94" s="5">
        <v>8.6999999999999993</v>
      </c>
      <c r="J94" s="15" t="s">
        <v>12</v>
      </c>
      <c r="K94" s="5" t="str">
        <f>VLOOKUP(E:E,'2. Productos'!$C$3:$F$8,2,FALSE)</f>
        <v>Aceite de ajonjolí</v>
      </c>
      <c r="L94" s="5" t="str">
        <f>VLOOKUP(E:E,'2. Productos'!$C$3:$E$8,3,FALSE)</f>
        <v>Aceites</v>
      </c>
      <c r="M94" s="5" t="str">
        <f>VLOOKUP(F:F,'3. Mercados'!$C$3:$F$9,2,FALSE)</f>
        <v>Norteamérica</v>
      </c>
      <c r="N94" s="16">
        <f>VLOOKUP(F:F,'3. Mercados'!$C$3:$F$9,3,FALSE)</f>
        <v>0.08</v>
      </c>
      <c r="O94" s="5" t="str">
        <f>VLOOKUP(F:F,'3. Mercados'!$C$3:$F$9,4,FALSE)</f>
        <v>Potencial</v>
      </c>
      <c r="P94" s="25">
        <f>Tabla1[[#This Row],[Unidades]]*Tabla1[[#This Row],[Precio FOB]]</f>
        <v>6000</v>
      </c>
      <c r="Q94" s="35">
        <f>Tabla1[[#This Row],[Unidades]]*Tabla1[[#This Row],[Costo Unitario]]</f>
        <v>4176</v>
      </c>
      <c r="R94" s="25">
        <f>Tabla1[[#This Row],[Valor FOB (Free On Board)]]-Tabla1[[#This Row],[Costo total]]</f>
        <v>1824</v>
      </c>
      <c r="S94" s="16">
        <f>Tabla1[[#This Row],[Utilidad]]/Tabla1[[#This Row],[Valor FOB (Free On Board)]]</f>
        <v>0.30399999999999999</v>
      </c>
      <c r="T94" s="25" t="str">
        <f>IF(Tabla1[[#This Row],[Margen]]&gt;=30%,"Alta",IF(Tabla1[[#This Row],[Margen]]&gt;=15%,"Media","Baja"))</f>
        <v>Alta</v>
      </c>
      <c r="U94" s="25" t="str">
        <f>IF(Tabla1[[#This Row],[Valor FOB (Free On Board)]]&gt;=10000,"Grande",IF(Tabla1[[#This Row],[Valor FOB (Free On Board)]]&gt;=5000,"Mediana","Pequeña"))</f>
        <v>Mediana</v>
      </c>
      <c r="V9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95" spans="2:22" x14ac:dyDescent="0.3">
      <c r="B95" s="14" t="s">
        <v>141</v>
      </c>
      <c r="C95" s="7">
        <v>46068</v>
      </c>
      <c r="D95" s="5" t="s">
        <v>14</v>
      </c>
      <c r="E95" s="5" t="s">
        <v>15</v>
      </c>
      <c r="F95" s="5" t="s">
        <v>16</v>
      </c>
      <c r="G95" s="5">
        <v>1260</v>
      </c>
      <c r="H95" s="25">
        <v>6.5</v>
      </c>
      <c r="I95" s="5">
        <v>4.0999999999999996</v>
      </c>
      <c r="J95" s="15" t="s">
        <v>17</v>
      </c>
      <c r="K95" s="5" t="str">
        <f>VLOOKUP(E:E,'2. Productos'!$C$3:$F$8,2,FALSE)</f>
        <v>Café especial</v>
      </c>
      <c r="L95" s="5" t="str">
        <f>VLOOKUP(E:E,'2. Productos'!$C$3:$E$8,3,FALSE)</f>
        <v>Café</v>
      </c>
      <c r="M95" s="5" t="str">
        <f>VLOOKUP(F:F,'3. Mercados'!$C$3:$F$9,2,FALSE)</f>
        <v>Norteamérica</v>
      </c>
      <c r="N95" s="16">
        <f>VLOOKUP(F:F,'3. Mercados'!$C$3:$F$9,3,FALSE)</f>
        <v>0.05</v>
      </c>
      <c r="O95" s="5" t="str">
        <f>VLOOKUP(F:F,'3. Mercados'!$C$3:$F$9,4,FALSE)</f>
        <v>Estratégico</v>
      </c>
      <c r="P95" s="25">
        <f>Tabla1[[#This Row],[Unidades]]*Tabla1[[#This Row],[Precio FOB]]</f>
        <v>8190</v>
      </c>
      <c r="Q95" s="35">
        <f>Tabla1[[#This Row],[Unidades]]*Tabla1[[#This Row],[Costo Unitario]]</f>
        <v>5166</v>
      </c>
      <c r="R95" s="25">
        <f>Tabla1[[#This Row],[Valor FOB (Free On Board)]]-Tabla1[[#This Row],[Costo total]]</f>
        <v>3024</v>
      </c>
      <c r="S95" s="16">
        <f>Tabla1[[#This Row],[Utilidad]]/Tabla1[[#This Row],[Valor FOB (Free On Board)]]</f>
        <v>0.36923076923076925</v>
      </c>
      <c r="T95" s="25" t="str">
        <f>IF(Tabla1[[#This Row],[Margen]]&gt;=30%,"Alta",IF(Tabla1[[#This Row],[Margen]]&gt;=15%,"Media","Baja"))</f>
        <v>Alta</v>
      </c>
      <c r="U95" s="25" t="str">
        <f>IF(Tabla1[[#This Row],[Valor FOB (Free On Board)]]&gt;=10000,"Grande",IF(Tabla1[[#This Row],[Valor FOB (Free On Board)]]&gt;=5000,"Mediana","Pequeña"))</f>
        <v>Mediana</v>
      </c>
      <c r="V95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96" spans="2:22" x14ac:dyDescent="0.3">
      <c r="B96" s="14" t="s">
        <v>142</v>
      </c>
      <c r="C96" s="7">
        <v>46077</v>
      </c>
      <c r="D96" s="5" t="s">
        <v>9</v>
      </c>
      <c r="E96" s="5" t="s">
        <v>10</v>
      </c>
      <c r="F96" s="5" t="s">
        <v>11</v>
      </c>
      <c r="G96" s="5">
        <v>1100</v>
      </c>
      <c r="H96" s="25">
        <v>4.8</v>
      </c>
      <c r="I96" s="5">
        <v>3.2</v>
      </c>
      <c r="J96" s="15" t="s">
        <v>12</v>
      </c>
      <c r="K96" s="5" t="str">
        <f>VLOOKUP(E:E,'2. Productos'!$C$3:$F$8,2,FALSE)</f>
        <v>Miel natural</v>
      </c>
      <c r="L96" s="5" t="str">
        <f>VLOOKUP(E:E,'2. Productos'!$C$3:$E$8,3,FALSE)</f>
        <v>Apícola</v>
      </c>
      <c r="M96" s="5" t="str">
        <f>VLOOKUP(F:F,'3. Mercados'!$C$3:$F$9,2,FALSE)</f>
        <v>Centroamérica</v>
      </c>
      <c r="N96" s="16">
        <f>VLOOKUP(F:F,'3. Mercados'!$C$3:$F$9,3,FALSE)</f>
        <v>0.03</v>
      </c>
      <c r="O96" s="5" t="str">
        <f>VLOOKUP(F:F,'3. Mercados'!$C$3:$F$9,4,FALSE)</f>
        <v>Estratégico</v>
      </c>
      <c r="P96" s="25">
        <f>Tabla1[[#This Row],[Unidades]]*Tabla1[[#This Row],[Precio FOB]]</f>
        <v>5280</v>
      </c>
      <c r="Q96" s="35">
        <f>Tabla1[[#This Row],[Unidades]]*Tabla1[[#This Row],[Costo Unitario]]</f>
        <v>3520</v>
      </c>
      <c r="R96" s="25">
        <f>Tabla1[[#This Row],[Valor FOB (Free On Board)]]-Tabla1[[#This Row],[Costo total]]</f>
        <v>1760</v>
      </c>
      <c r="S96" s="16">
        <f>Tabla1[[#This Row],[Utilidad]]/Tabla1[[#This Row],[Valor FOB (Free On Board)]]</f>
        <v>0.33333333333333331</v>
      </c>
      <c r="T96" s="25" t="str">
        <f>IF(Tabla1[[#This Row],[Margen]]&gt;=30%,"Alta",IF(Tabla1[[#This Row],[Margen]]&gt;=15%,"Media","Baja"))</f>
        <v>Alta</v>
      </c>
      <c r="U96" s="25" t="str">
        <f>IF(Tabla1[[#This Row],[Valor FOB (Free On Board)]]&gt;=10000,"Grande",IF(Tabla1[[#This Row],[Valor FOB (Free On Board)]]&gt;=5000,"Mediana","Pequeña"))</f>
        <v>Mediana</v>
      </c>
      <c r="V96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97" spans="2:22" x14ac:dyDescent="0.3">
      <c r="B97" s="14" t="s">
        <v>143</v>
      </c>
      <c r="C97" s="7">
        <v>46086</v>
      </c>
      <c r="D97" s="5" t="s">
        <v>19</v>
      </c>
      <c r="E97" s="5" t="s">
        <v>29</v>
      </c>
      <c r="F97" s="5" t="s">
        <v>21</v>
      </c>
      <c r="G97" s="5">
        <v>570</v>
      </c>
      <c r="H97" s="25">
        <v>12.5</v>
      </c>
      <c r="I97" s="5">
        <v>8.6999999999999993</v>
      </c>
      <c r="J97" s="15" t="s">
        <v>17</v>
      </c>
      <c r="K97" s="5" t="str">
        <f>VLOOKUP(E:E,'2. Productos'!$C$3:$F$8,2,FALSE)</f>
        <v>Aceite de ajonjolí</v>
      </c>
      <c r="L97" s="5" t="str">
        <f>VLOOKUP(E:E,'2. Productos'!$C$3:$E$8,3,FALSE)</f>
        <v>Aceites</v>
      </c>
      <c r="M97" s="5" t="str">
        <f>VLOOKUP(F:F,'3. Mercados'!$C$3:$F$9,2,FALSE)</f>
        <v>Centroamérica</v>
      </c>
      <c r="N97" s="16">
        <f>VLOOKUP(F:F,'3. Mercados'!$C$3:$F$9,3,FALSE)</f>
        <v>0.02</v>
      </c>
      <c r="O97" s="5" t="str">
        <f>VLOOKUP(F:F,'3. Mercados'!$C$3:$F$9,4,FALSE)</f>
        <v>Estratégico</v>
      </c>
      <c r="P97" s="25">
        <f>Tabla1[[#This Row],[Unidades]]*Tabla1[[#This Row],[Precio FOB]]</f>
        <v>7125</v>
      </c>
      <c r="Q97" s="35">
        <f>Tabla1[[#This Row],[Unidades]]*Tabla1[[#This Row],[Costo Unitario]]</f>
        <v>4959</v>
      </c>
      <c r="R97" s="25">
        <f>Tabla1[[#This Row],[Valor FOB (Free On Board)]]-Tabla1[[#This Row],[Costo total]]</f>
        <v>2166</v>
      </c>
      <c r="S97" s="16">
        <f>Tabla1[[#This Row],[Utilidad]]/Tabla1[[#This Row],[Valor FOB (Free On Board)]]</f>
        <v>0.30399999999999999</v>
      </c>
      <c r="T97" s="25" t="str">
        <f>IF(Tabla1[[#This Row],[Margen]]&gt;=30%,"Alta",IF(Tabla1[[#This Row],[Margen]]&gt;=15%,"Media","Baja"))</f>
        <v>Alta</v>
      </c>
      <c r="U97" s="25" t="str">
        <f>IF(Tabla1[[#This Row],[Valor FOB (Free On Board)]]&gt;=10000,"Grande",IF(Tabla1[[#This Row],[Valor FOB (Free On Board)]]&gt;=5000,"Mediana","Pequeña"))</f>
        <v>Mediana</v>
      </c>
      <c r="V97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98" spans="2:22" x14ac:dyDescent="0.3">
      <c r="B98" s="14" t="s">
        <v>144</v>
      </c>
      <c r="C98" s="7">
        <v>46095</v>
      </c>
      <c r="D98" s="5" t="s">
        <v>23</v>
      </c>
      <c r="E98" s="5" t="s">
        <v>20</v>
      </c>
      <c r="F98" s="5" t="s">
        <v>25</v>
      </c>
      <c r="G98" s="5">
        <v>880</v>
      </c>
      <c r="H98" s="25">
        <v>8.1999999999999993</v>
      </c>
      <c r="I98" s="5">
        <v>5.9</v>
      </c>
      <c r="J98" s="15" t="s">
        <v>12</v>
      </c>
      <c r="K98" s="5" t="str">
        <f>VLOOKUP(E:E,'2. Productos'!$C$3:$F$8,2,FALSE)</f>
        <v>Maní procesado</v>
      </c>
      <c r="L98" s="5" t="str">
        <f>VLOOKUP(E:E,'2. Productos'!$C$3:$E$8,3,FALSE)</f>
        <v>Semillas</v>
      </c>
      <c r="M98" s="5" t="str">
        <f>VLOOKUP(F:F,'3. Mercados'!$C$3:$F$9,2,FALSE)</f>
        <v>Europa</v>
      </c>
      <c r="N98" s="16">
        <f>VLOOKUP(F:F,'3. Mercados'!$C$3:$F$9,3,FALSE)</f>
        <v>0.1</v>
      </c>
      <c r="O98" s="5" t="str">
        <f>VLOOKUP(F:F,'3. Mercados'!$C$3:$F$9,4,FALSE)</f>
        <v>Potencial</v>
      </c>
      <c r="P98" s="25">
        <f>Tabla1[[#This Row],[Unidades]]*Tabla1[[#This Row],[Precio FOB]]</f>
        <v>7215.9999999999991</v>
      </c>
      <c r="Q98" s="35">
        <f>Tabla1[[#This Row],[Unidades]]*Tabla1[[#This Row],[Costo Unitario]]</f>
        <v>5192</v>
      </c>
      <c r="R98" s="25">
        <f>Tabla1[[#This Row],[Valor FOB (Free On Board)]]-Tabla1[[#This Row],[Costo total]]</f>
        <v>2023.9999999999991</v>
      </c>
      <c r="S98" s="16">
        <f>Tabla1[[#This Row],[Utilidad]]/Tabla1[[#This Row],[Valor FOB (Free On Board)]]</f>
        <v>0.2804878048780487</v>
      </c>
      <c r="T98" s="25" t="str">
        <f>IF(Tabla1[[#This Row],[Margen]]&gt;=30%,"Alta",IF(Tabla1[[#This Row],[Margen]]&gt;=15%,"Media","Baja"))</f>
        <v>Media</v>
      </c>
      <c r="U98" s="25" t="str">
        <f>IF(Tabla1[[#This Row],[Valor FOB (Free On Board)]]&gt;=10000,"Grande",IF(Tabla1[[#This Row],[Valor FOB (Free On Board)]]&gt;=5000,"Mediana","Pequeña"))</f>
        <v>Mediana</v>
      </c>
      <c r="V98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Baja</v>
      </c>
    </row>
    <row r="99" spans="2:22" x14ac:dyDescent="0.3">
      <c r="B99" s="14" t="s">
        <v>145</v>
      </c>
      <c r="C99" s="7">
        <v>46104</v>
      </c>
      <c r="D99" s="5" t="s">
        <v>28</v>
      </c>
      <c r="E99" s="5" t="s">
        <v>24</v>
      </c>
      <c r="F99" s="5" t="s">
        <v>30</v>
      </c>
      <c r="G99" s="5">
        <v>1060</v>
      </c>
      <c r="H99" s="25">
        <v>7.1</v>
      </c>
      <c r="I99" s="5">
        <v>4.8</v>
      </c>
      <c r="J99" s="15" t="s">
        <v>17</v>
      </c>
      <c r="K99" s="5" t="str">
        <f>VLOOKUP(E:E,'2. Productos'!$C$3:$F$8,2,FALSE)</f>
        <v>Cacao en grano</v>
      </c>
      <c r="L99" s="5" t="str">
        <f>VLOOKUP(E:E,'2. Productos'!$C$3:$E$8,3,FALSE)</f>
        <v>Cacao</v>
      </c>
      <c r="M99" s="5" t="str">
        <f>VLOOKUP(F:F,'3. Mercados'!$C$3:$F$9,2,FALSE)</f>
        <v>Norteamérica</v>
      </c>
      <c r="N99" s="16">
        <f>VLOOKUP(F:F,'3. Mercados'!$C$3:$F$9,3,FALSE)</f>
        <v>0.08</v>
      </c>
      <c r="O99" s="5" t="str">
        <f>VLOOKUP(F:F,'3. Mercados'!$C$3:$F$9,4,FALSE)</f>
        <v>Potencial</v>
      </c>
      <c r="P99" s="25">
        <f>Tabla1[[#This Row],[Unidades]]*Tabla1[[#This Row],[Precio FOB]]</f>
        <v>7526</v>
      </c>
      <c r="Q99" s="35">
        <f>Tabla1[[#This Row],[Unidades]]*Tabla1[[#This Row],[Costo Unitario]]</f>
        <v>5088</v>
      </c>
      <c r="R99" s="25">
        <f>Tabla1[[#This Row],[Valor FOB (Free On Board)]]-Tabla1[[#This Row],[Costo total]]</f>
        <v>2438</v>
      </c>
      <c r="S99" s="16">
        <f>Tabla1[[#This Row],[Utilidad]]/Tabla1[[#This Row],[Valor FOB (Free On Board)]]</f>
        <v>0.323943661971831</v>
      </c>
      <c r="T99" s="25" t="str">
        <f>IF(Tabla1[[#This Row],[Margen]]&gt;=30%,"Alta",IF(Tabla1[[#This Row],[Margen]]&gt;=15%,"Media","Baja"))</f>
        <v>Alta</v>
      </c>
      <c r="U99" s="25" t="str">
        <f>IF(Tabla1[[#This Row],[Valor FOB (Free On Board)]]&gt;=10000,"Grande",IF(Tabla1[[#This Row],[Valor FOB (Free On Board)]]&gt;=5000,"Mediana","Pequeña"))</f>
        <v>Mediana</v>
      </c>
      <c r="V99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100" spans="2:22" x14ac:dyDescent="0.3">
      <c r="B100" s="14" t="s">
        <v>146</v>
      </c>
      <c r="C100" s="7">
        <v>46114</v>
      </c>
      <c r="D100" s="5" t="s">
        <v>14</v>
      </c>
      <c r="E100" s="5" t="s">
        <v>10</v>
      </c>
      <c r="F100" s="5" t="s">
        <v>16</v>
      </c>
      <c r="G100" s="5">
        <v>1490</v>
      </c>
      <c r="H100" s="25">
        <v>4.8</v>
      </c>
      <c r="I100" s="5">
        <v>3.2</v>
      </c>
      <c r="J100" s="15" t="s">
        <v>26</v>
      </c>
      <c r="K100" s="5" t="str">
        <f>VLOOKUP(E:E,'2. Productos'!$C$3:$F$8,2,FALSE)</f>
        <v>Miel natural</v>
      </c>
      <c r="L100" s="5" t="str">
        <f>VLOOKUP(E:E,'2. Productos'!$C$3:$E$8,3,FALSE)</f>
        <v>Apícola</v>
      </c>
      <c r="M100" s="5" t="str">
        <f>VLOOKUP(F:F,'3. Mercados'!$C$3:$F$9,2,FALSE)</f>
        <v>Norteamérica</v>
      </c>
      <c r="N100" s="16">
        <f>VLOOKUP(F:F,'3. Mercados'!$C$3:$F$9,3,FALSE)</f>
        <v>0.05</v>
      </c>
      <c r="O100" s="5" t="str">
        <f>VLOOKUP(F:F,'3. Mercados'!$C$3:$F$9,4,FALSE)</f>
        <v>Estratégico</v>
      </c>
      <c r="P100" s="25">
        <f>Tabla1[[#This Row],[Unidades]]*Tabla1[[#This Row],[Precio FOB]]</f>
        <v>7152</v>
      </c>
      <c r="Q100" s="35">
        <f>Tabla1[[#This Row],[Unidades]]*Tabla1[[#This Row],[Costo Unitario]]</f>
        <v>4768</v>
      </c>
      <c r="R100" s="25">
        <f>Tabla1[[#This Row],[Valor FOB (Free On Board)]]-Tabla1[[#This Row],[Costo total]]</f>
        <v>2384</v>
      </c>
      <c r="S100" s="16">
        <f>Tabla1[[#This Row],[Utilidad]]/Tabla1[[#This Row],[Valor FOB (Free On Board)]]</f>
        <v>0.33333333333333331</v>
      </c>
      <c r="T100" s="25" t="str">
        <f>IF(Tabla1[[#This Row],[Margen]]&gt;=30%,"Alta",IF(Tabla1[[#This Row],[Margen]]&gt;=15%,"Media","Baja"))</f>
        <v>Alta</v>
      </c>
      <c r="U100" s="25" t="str">
        <f>IF(Tabla1[[#This Row],[Valor FOB (Free On Board)]]&gt;=10000,"Grande",IF(Tabla1[[#This Row],[Valor FOB (Free On Board)]]&gt;=5000,"Mediana","Pequeña"))</f>
        <v>Mediana</v>
      </c>
      <c r="V100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101" spans="2:22" x14ac:dyDescent="0.3">
      <c r="B101" s="14" t="s">
        <v>147</v>
      </c>
      <c r="C101" s="7">
        <v>46123</v>
      </c>
      <c r="D101" s="5" t="s">
        <v>9</v>
      </c>
      <c r="E101" s="5" t="s">
        <v>15</v>
      </c>
      <c r="F101" s="5" t="s">
        <v>11</v>
      </c>
      <c r="G101" s="5">
        <v>910</v>
      </c>
      <c r="H101" s="25">
        <v>6.5</v>
      </c>
      <c r="I101" s="5">
        <v>4.0999999999999996</v>
      </c>
      <c r="J101" s="15" t="s">
        <v>12</v>
      </c>
      <c r="K101" s="5" t="str">
        <f>VLOOKUP(E:E,'2. Productos'!$C$3:$F$8,2,FALSE)</f>
        <v>Café especial</v>
      </c>
      <c r="L101" s="5" t="str">
        <f>VLOOKUP(E:E,'2. Productos'!$C$3:$E$8,3,FALSE)</f>
        <v>Café</v>
      </c>
      <c r="M101" s="5" t="str">
        <f>VLOOKUP(F:F,'3. Mercados'!$C$3:$F$9,2,FALSE)</f>
        <v>Centroamérica</v>
      </c>
      <c r="N101" s="16">
        <f>VLOOKUP(F:F,'3. Mercados'!$C$3:$F$9,3,FALSE)</f>
        <v>0.03</v>
      </c>
      <c r="O101" s="5" t="str">
        <f>VLOOKUP(F:F,'3. Mercados'!$C$3:$F$9,4,FALSE)</f>
        <v>Estratégico</v>
      </c>
      <c r="P101" s="25">
        <f>Tabla1[[#This Row],[Unidades]]*Tabla1[[#This Row],[Precio FOB]]</f>
        <v>5915</v>
      </c>
      <c r="Q101" s="35">
        <f>Tabla1[[#This Row],[Unidades]]*Tabla1[[#This Row],[Costo Unitario]]</f>
        <v>3730.9999999999995</v>
      </c>
      <c r="R101" s="25">
        <f>Tabla1[[#This Row],[Valor FOB (Free On Board)]]-Tabla1[[#This Row],[Costo total]]</f>
        <v>2184.0000000000005</v>
      </c>
      <c r="S101" s="16">
        <f>Tabla1[[#This Row],[Utilidad]]/Tabla1[[#This Row],[Valor FOB (Free On Board)]]</f>
        <v>0.36923076923076931</v>
      </c>
      <c r="T101" s="25" t="str">
        <f>IF(Tabla1[[#This Row],[Margen]]&gt;=30%,"Alta",IF(Tabla1[[#This Row],[Margen]]&gt;=15%,"Media","Baja"))</f>
        <v>Alta</v>
      </c>
      <c r="U101" s="25" t="str">
        <f>IF(Tabla1[[#This Row],[Valor FOB (Free On Board)]]&gt;=10000,"Grande",IF(Tabla1[[#This Row],[Valor FOB (Free On Board)]]&gt;=5000,"Mediana","Pequeña"))</f>
        <v>Mediana</v>
      </c>
      <c r="V101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Alta</v>
      </c>
    </row>
    <row r="102" spans="2:22" x14ac:dyDescent="0.3">
      <c r="B102" s="14" t="s">
        <v>148</v>
      </c>
      <c r="C102" s="7">
        <v>46132</v>
      </c>
      <c r="D102" s="5" t="s">
        <v>19</v>
      </c>
      <c r="E102" s="5" t="s">
        <v>20</v>
      </c>
      <c r="F102" s="5" t="s">
        <v>21</v>
      </c>
      <c r="G102" s="5">
        <v>740</v>
      </c>
      <c r="H102" s="25">
        <v>8.1999999999999993</v>
      </c>
      <c r="I102" s="5">
        <v>5.9</v>
      </c>
      <c r="J102" s="15" t="s">
        <v>17</v>
      </c>
      <c r="K102" s="5" t="str">
        <f>VLOOKUP(E:E,'2. Productos'!$C$3:$F$8,2,FALSE)</f>
        <v>Maní procesado</v>
      </c>
      <c r="L102" s="5" t="str">
        <f>VLOOKUP(E:E,'2. Productos'!$C$3:$E$8,3,FALSE)</f>
        <v>Semillas</v>
      </c>
      <c r="M102" s="5" t="str">
        <f>VLOOKUP(F:F,'3. Mercados'!$C$3:$F$9,2,FALSE)</f>
        <v>Centroamérica</v>
      </c>
      <c r="N102" s="16">
        <f>VLOOKUP(F:F,'3. Mercados'!$C$3:$F$9,3,FALSE)</f>
        <v>0.02</v>
      </c>
      <c r="O102" s="5" t="str">
        <f>VLOOKUP(F:F,'3. Mercados'!$C$3:$F$9,4,FALSE)</f>
        <v>Estratégico</v>
      </c>
      <c r="P102" s="25">
        <f>Tabla1[[#This Row],[Unidades]]*Tabla1[[#This Row],[Precio FOB]]</f>
        <v>6067.9999999999991</v>
      </c>
      <c r="Q102" s="35">
        <f>Tabla1[[#This Row],[Unidades]]*Tabla1[[#This Row],[Costo Unitario]]</f>
        <v>4366</v>
      </c>
      <c r="R102" s="25">
        <f>Tabla1[[#This Row],[Valor FOB (Free On Board)]]-Tabla1[[#This Row],[Costo total]]</f>
        <v>1701.9999999999991</v>
      </c>
      <c r="S102" s="16">
        <f>Tabla1[[#This Row],[Utilidad]]/Tabla1[[#This Row],[Valor FOB (Free On Board)]]</f>
        <v>0.2804878048780487</v>
      </c>
      <c r="T102" s="25" t="str">
        <f>IF(Tabla1[[#This Row],[Margen]]&gt;=30%,"Alta",IF(Tabla1[[#This Row],[Margen]]&gt;=15%,"Media","Baja"))</f>
        <v>Media</v>
      </c>
      <c r="U102" s="25" t="str">
        <f>IF(Tabla1[[#This Row],[Valor FOB (Free On Board)]]&gt;=10000,"Grande",IF(Tabla1[[#This Row],[Valor FOB (Free On Board)]]&gt;=5000,"Mediana","Pequeña"))</f>
        <v>Mediana</v>
      </c>
      <c r="V102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103" spans="2:22" x14ac:dyDescent="0.3">
      <c r="B103" s="14" t="s">
        <v>149</v>
      </c>
      <c r="C103" s="7">
        <v>46141</v>
      </c>
      <c r="D103" s="5" t="s">
        <v>23</v>
      </c>
      <c r="E103" s="5" t="s">
        <v>29</v>
      </c>
      <c r="F103" s="5" t="s">
        <v>25</v>
      </c>
      <c r="G103" s="5">
        <v>630</v>
      </c>
      <c r="H103" s="25">
        <v>12.5</v>
      </c>
      <c r="I103" s="5">
        <v>8.6999999999999993</v>
      </c>
      <c r="J103" s="15" t="s">
        <v>12</v>
      </c>
      <c r="K103" s="5" t="str">
        <f>VLOOKUP(E:E,'2. Productos'!$C$3:$F$8,2,FALSE)</f>
        <v>Aceite de ajonjolí</v>
      </c>
      <c r="L103" s="5" t="str">
        <f>VLOOKUP(E:E,'2. Productos'!$C$3:$E$8,3,FALSE)</f>
        <v>Aceites</v>
      </c>
      <c r="M103" s="5" t="str">
        <f>VLOOKUP(F:F,'3. Mercados'!$C$3:$F$9,2,FALSE)</f>
        <v>Europa</v>
      </c>
      <c r="N103" s="16">
        <f>VLOOKUP(F:F,'3. Mercados'!$C$3:$F$9,3,FALSE)</f>
        <v>0.1</v>
      </c>
      <c r="O103" s="5" t="str">
        <f>VLOOKUP(F:F,'3. Mercados'!$C$3:$F$9,4,FALSE)</f>
        <v>Potencial</v>
      </c>
      <c r="P103" s="25">
        <f>Tabla1[[#This Row],[Unidades]]*Tabla1[[#This Row],[Precio FOB]]</f>
        <v>7875</v>
      </c>
      <c r="Q103" s="35">
        <f>Tabla1[[#This Row],[Unidades]]*Tabla1[[#This Row],[Costo Unitario]]</f>
        <v>5481</v>
      </c>
      <c r="R103" s="25">
        <f>Tabla1[[#This Row],[Valor FOB (Free On Board)]]-Tabla1[[#This Row],[Costo total]]</f>
        <v>2394</v>
      </c>
      <c r="S103" s="16">
        <f>Tabla1[[#This Row],[Utilidad]]/Tabla1[[#This Row],[Valor FOB (Free On Board)]]</f>
        <v>0.30399999999999999</v>
      </c>
      <c r="T103" s="25" t="str">
        <f>IF(Tabla1[[#This Row],[Margen]]&gt;=30%,"Alta",IF(Tabla1[[#This Row],[Margen]]&gt;=15%,"Media","Baja"))</f>
        <v>Alta</v>
      </c>
      <c r="U103" s="25" t="str">
        <f>IF(Tabla1[[#This Row],[Valor FOB (Free On Board)]]&gt;=10000,"Grande",IF(Tabla1[[#This Row],[Valor FOB (Free On Board)]]&gt;=5000,"Mediana","Pequeña"))</f>
        <v>Mediana</v>
      </c>
      <c r="V103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  <row r="104" spans="2:22" x14ac:dyDescent="0.3">
      <c r="B104" s="14" t="s">
        <v>150</v>
      </c>
      <c r="C104" s="7">
        <v>46150</v>
      </c>
      <c r="D104" s="5" t="s">
        <v>28</v>
      </c>
      <c r="E104" s="5" t="s">
        <v>15</v>
      </c>
      <c r="F104" s="5" t="s">
        <v>30</v>
      </c>
      <c r="G104" s="5">
        <v>1170</v>
      </c>
      <c r="H104" s="25">
        <v>6.5</v>
      </c>
      <c r="I104" s="5">
        <v>4.0999999999999996</v>
      </c>
      <c r="J104" s="15" t="s">
        <v>17</v>
      </c>
      <c r="K104" s="5" t="str">
        <f>VLOOKUP(E:E,'2. Productos'!$C$3:$F$8,2,FALSE)</f>
        <v>Café especial</v>
      </c>
      <c r="L104" s="5" t="str">
        <f>VLOOKUP(E:E,'2. Productos'!$C$3:$E$8,3,FALSE)</f>
        <v>Café</v>
      </c>
      <c r="M104" s="5" t="str">
        <f>VLOOKUP(F:F,'3. Mercados'!$C$3:$F$9,2,FALSE)</f>
        <v>Norteamérica</v>
      </c>
      <c r="N104" s="16">
        <f>VLOOKUP(F:F,'3. Mercados'!$C$3:$F$9,3,FALSE)</f>
        <v>0.08</v>
      </c>
      <c r="O104" s="5" t="str">
        <f>VLOOKUP(F:F,'3. Mercados'!$C$3:$F$9,4,FALSE)</f>
        <v>Potencial</v>
      </c>
      <c r="P104" s="27">
        <f>Tabla1[[#This Row],[Unidades]]*Tabla1[[#This Row],[Precio FOB]]</f>
        <v>7605</v>
      </c>
      <c r="Q104" s="36">
        <f>Tabla1[[#This Row],[Unidades]]*Tabla1[[#This Row],[Costo Unitario]]</f>
        <v>4797</v>
      </c>
      <c r="R104" s="25">
        <f>Tabla1[[#This Row],[Valor FOB (Free On Board)]]-Tabla1[[#This Row],[Costo total]]</f>
        <v>2808</v>
      </c>
      <c r="S104" s="16">
        <f>Tabla1[[#This Row],[Utilidad]]/Tabla1[[#This Row],[Valor FOB (Free On Board)]]</f>
        <v>0.36923076923076925</v>
      </c>
      <c r="T104" s="25" t="str">
        <f>IF(Tabla1[[#This Row],[Margen]]&gt;=30%,"Alta",IF(Tabla1[[#This Row],[Margen]]&gt;=15%,"Media","Baja"))</f>
        <v>Alta</v>
      </c>
      <c r="U104" s="25" t="str">
        <f>IF(Tabla1[[#This Row],[Valor FOB (Free On Board)]]&gt;=10000,"Grande",IF(Tabla1[[#This Row],[Valor FOB (Free On Board)]]&gt;=5000,"Mediana","Pequeña"))</f>
        <v>Mediana</v>
      </c>
      <c r="V104" s="25" t="str">
        <f>IF(AND(Tabla1[[#This Row],[Clasificación Mercado]]="Estratégico", Tabla1[[#This Row],[Margen]]&gt;=0.3), "Alta", IF(AND(Tabla1[[#This Row],[Clasificación Mercado]]="Estratégico", Tabla1[[#This Row],[Margen]]&lt;0.3), "Media", IF(AND(Tabla1[[#This Row],[Clasificación Mercado]]="Potencial", Tabla1[[#This Row],[Margen]]&gt;=0.3), "Media", "Baja")))</f>
        <v>Media</v>
      </c>
    </row>
  </sheetData>
  <mergeCells count="3">
    <mergeCell ref="AA5:AC5"/>
    <mergeCell ref="W4:X4"/>
    <mergeCell ref="W12:X12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sheetPr>
    <tabColor theme="9" tint="0.39997558519241921"/>
  </sheetPr>
  <dimension ref="C2:F8"/>
  <sheetViews>
    <sheetView workbookViewId="0">
      <selection activeCell="H11" sqref="H11"/>
    </sheetView>
  </sheetViews>
  <sheetFormatPr baseColWidth="10" defaultRowHeight="14.4" x14ac:dyDescent="0.3"/>
  <cols>
    <col min="3" max="3" width="9.88671875" customWidth="1"/>
    <col min="4" max="4" width="16.21875" customWidth="1"/>
    <col min="5" max="5" width="10.21875" customWidth="1"/>
    <col min="6" max="6" width="17.77734375" customWidth="1"/>
  </cols>
  <sheetData>
    <row r="2" spans="3:6" ht="21.6" customHeight="1" x14ac:dyDescent="0.3">
      <c r="C2" s="4" t="s">
        <v>152</v>
      </c>
    </row>
    <row r="3" spans="3:6" x14ac:dyDescent="0.3">
      <c r="C3" s="3" t="s">
        <v>34</v>
      </c>
      <c r="D3" s="3" t="s">
        <v>35</v>
      </c>
      <c r="E3" s="3" t="s">
        <v>36</v>
      </c>
      <c r="F3" s="3" t="s">
        <v>153</v>
      </c>
    </row>
    <row r="4" spans="3:6" x14ac:dyDescent="0.3">
      <c r="C4" s="5" t="s">
        <v>15</v>
      </c>
      <c r="D4" s="1" t="s">
        <v>37</v>
      </c>
      <c r="E4" s="1" t="s">
        <v>38</v>
      </c>
      <c r="F4" s="5" t="s">
        <v>39</v>
      </c>
    </row>
    <row r="5" spans="3:6" x14ac:dyDescent="0.3">
      <c r="C5" s="5" t="s">
        <v>24</v>
      </c>
      <c r="D5" s="1" t="s">
        <v>40</v>
      </c>
      <c r="E5" s="1" t="s">
        <v>41</v>
      </c>
      <c r="F5" s="5" t="s">
        <v>39</v>
      </c>
    </row>
    <row r="6" spans="3:6" x14ac:dyDescent="0.3">
      <c r="C6" s="5" t="s">
        <v>10</v>
      </c>
      <c r="D6" s="1" t="s">
        <v>42</v>
      </c>
      <c r="E6" s="1" t="s">
        <v>43</v>
      </c>
      <c r="F6" s="5" t="s">
        <v>39</v>
      </c>
    </row>
    <row r="7" spans="3:6" x14ac:dyDescent="0.3">
      <c r="C7" s="5" t="s">
        <v>20</v>
      </c>
      <c r="D7" s="1" t="s">
        <v>44</v>
      </c>
      <c r="E7" s="1" t="s">
        <v>45</v>
      </c>
      <c r="F7" s="5" t="s">
        <v>39</v>
      </c>
    </row>
    <row r="8" spans="3:6" x14ac:dyDescent="0.3">
      <c r="C8" s="5" t="s">
        <v>29</v>
      </c>
      <c r="D8" s="1" t="s">
        <v>46</v>
      </c>
      <c r="E8" s="1" t="s">
        <v>47</v>
      </c>
      <c r="F8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sheetPr>
    <tabColor theme="9" tint="0.39997558519241921"/>
  </sheetPr>
  <dimension ref="C2:F9"/>
  <sheetViews>
    <sheetView workbookViewId="0">
      <selection activeCell="C3" sqref="C3"/>
    </sheetView>
  </sheetViews>
  <sheetFormatPr baseColWidth="10" defaultRowHeight="14.4" x14ac:dyDescent="0.3"/>
  <cols>
    <col min="4" max="4" width="14.44140625" customWidth="1"/>
    <col min="12" max="12" width="10" customWidth="1"/>
    <col min="13" max="13" width="23.44140625" customWidth="1"/>
    <col min="14" max="14" width="12.109375" customWidth="1"/>
    <col min="16" max="16" width="31.44140625" customWidth="1"/>
    <col min="17" max="18" width="8.88671875" customWidth="1"/>
    <col min="19" max="19" width="11.109375" customWidth="1"/>
    <col min="20" max="20" width="11.44140625" customWidth="1"/>
    <col min="22" max="22" width="32.5546875" customWidth="1"/>
    <col min="23" max="23" width="10.88671875" customWidth="1"/>
    <col min="24" max="24" width="14.44140625" customWidth="1"/>
  </cols>
  <sheetData>
    <row r="2" spans="3:6" ht="16.8" customHeight="1" x14ac:dyDescent="0.3">
      <c r="C2" s="4" t="s">
        <v>154</v>
      </c>
    </row>
    <row r="3" spans="3:6" x14ac:dyDescent="0.3">
      <c r="C3" s="3" t="s">
        <v>49</v>
      </c>
      <c r="D3" s="3" t="s">
        <v>50</v>
      </c>
      <c r="E3" s="3" t="s">
        <v>51</v>
      </c>
      <c r="F3" s="3" t="s">
        <v>52</v>
      </c>
    </row>
    <row r="4" spans="3:6" x14ac:dyDescent="0.3">
      <c r="C4" s="1" t="s">
        <v>16</v>
      </c>
      <c r="D4" s="1" t="s">
        <v>53</v>
      </c>
      <c r="E4" s="6">
        <v>0.05</v>
      </c>
      <c r="F4" s="1" t="s">
        <v>54</v>
      </c>
    </row>
    <row r="5" spans="3:6" x14ac:dyDescent="0.3">
      <c r="C5" s="1" t="s">
        <v>30</v>
      </c>
      <c r="D5" s="1" t="s">
        <v>53</v>
      </c>
      <c r="E5" s="6">
        <v>0.08</v>
      </c>
      <c r="F5" s="1" t="s">
        <v>55</v>
      </c>
    </row>
    <row r="6" spans="3:6" x14ac:dyDescent="0.3">
      <c r="C6" s="1" t="s">
        <v>11</v>
      </c>
      <c r="D6" s="1" t="s">
        <v>56</v>
      </c>
      <c r="E6" s="6">
        <v>0.03</v>
      </c>
      <c r="F6" s="1" t="s">
        <v>54</v>
      </c>
    </row>
    <row r="7" spans="3:6" x14ac:dyDescent="0.3">
      <c r="C7" s="1" t="s">
        <v>21</v>
      </c>
      <c r="D7" s="1" t="s">
        <v>56</v>
      </c>
      <c r="E7" s="6">
        <v>0.02</v>
      </c>
      <c r="F7" s="1" t="s">
        <v>54</v>
      </c>
    </row>
    <row r="8" spans="3:6" x14ac:dyDescent="0.3">
      <c r="C8" s="1" t="s">
        <v>57</v>
      </c>
      <c r="D8" s="1" t="s">
        <v>56</v>
      </c>
      <c r="E8" s="6">
        <v>0.02</v>
      </c>
      <c r="F8" s="1" t="s">
        <v>55</v>
      </c>
    </row>
    <row r="9" spans="3:6" x14ac:dyDescent="0.3">
      <c r="C9" s="1" t="s">
        <v>25</v>
      </c>
      <c r="D9" s="1" t="s">
        <v>58</v>
      </c>
      <c r="E9" s="6">
        <v>0.1</v>
      </c>
      <c r="F9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DACE-F3A8-4AE1-8C49-3D568B8CD036}">
  <sheetPr>
    <tabColor theme="9" tint="0.39997558519241921"/>
  </sheetPr>
  <dimension ref="A1:J42"/>
  <sheetViews>
    <sheetView showGridLines="0" zoomScaleNormal="100" workbookViewId="0">
      <selection activeCell="D20" sqref="D20"/>
    </sheetView>
  </sheetViews>
  <sheetFormatPr baseColWidth="10" defaultRowHeight="14.4" x14ac:dyDescent="0.3"/>
  <cols>
    <col min="1" max="1" width="55.109375" customWidth="1"/>
    <col min="4" max="4" width="16.5546875" bestFit="1" customWidth="1"/>
    <col min="5" max="5" width="15.33203125" bestFit="1" customWidth="1"/>
    <col min="6" max="6" width="11.44140625" customWidth="1"/>
    <col min="7" max="7" width="16.5546875" bestFit="1" customWidth="1"/>
    <col min="8" max="8" width="21.6640625" bestFit="1" customWidth="1"/>
    <col min="9" max="9" width="13.5546875" customWidth="1"/>
  </cols>
  <sheetData>
    <row r="1" spans="1:10" x14ac:dyDescent="0.3">
      <c r="A1" s="64" t="s">
        <v>156</v>
      </c>
      <c r="B1" s="64"/>
      <c r="C1" s="64"/>
      <c r="D1" s="66" t="s">
        <v>206</v>
      </c>
      <c r="E1" s="67"/>
      <c r="G1" s="66" t="s">
        <v>207</v>
      </c>
      <c r="H1" s="66"/>
      <c r="I1" s="49"/>
    </row>
    <row r="2" spans="1:10" ht="15.6" customHeight="1" x14ac:dyDescent="0.3">
      <c r="A2" s="47" t="s">
        <v>157</v>
      </c>
      <c r="B2" s="45"/>
      <c r="C2" s="46"/>
      <c r="D2" s="50" t="s">
        <v>203</v>
      </c>
      <c r="E2" s="51" t="s">
        <v>202</v>
      </c>
      <c r="G2" s="56" t="s">
        <v>200</v>
      </c>
      <c r="H2" s="1" t="s">
        <v>202</v>
      </c>
      <c r="J2" s="46"/>
    </row>
    <row r="3" spans="1:10" ht="16.2" customHeight="1" x14ac:dyDescent="0.3">
      <c r="A3" s="48" t="s">
        <v>189</v>
      </c>
      <c r="B3" s="46"/>
      <c r="C3" s="46"/>
      <c r="D3" s="52" t="s">
        <v>21</v>
      </c>
      <c r="E3" s="53">
        <v>113544</v>
      </c>
      <c r="G3" s="59" t="s">
        <v>56</v>
      </c>
      <c r="H3" s="58">
        <v>232879</v>
      </c>
      <c r="J3" s="46"/>
    </row>
    <row r="4" spans="1:10" x14ac:dyDescent="0.3">
      <c r="A4" s="46"/>
      <c r="B4" s="46"/>
      <c r="C4" s="46"/>
      <c r="D4" s="52" t="s">
        <v>16</v>
      </c>
      <c r="E4" s="53">
        <v>168745</v>
      </c>
      <c r="G4" s="59" t="s">
        <v>58</v>
      </c>
      <c r="H4" s="58">
        <v>136328</v>
      </c>
      <c r="J4" s="46"/>
    </row>
    <row r="5" spans="1:10" x14ac:dyDescent="0.3">
      <c r="A5" s="45" t="s">
        <v>158</v>
      </c>
      <c r="B5" s="45"/>
      <c r="C5" s="46"/>
      <c r="D5" s="52" t="s">
        <v>25</v>
      </c>
      <c r="E5" s="53">
        <v>136328</v>
      </c>
      <c r="G5" s="59" t="s">
        <v>53</v>
      </c>
      <c r="H5" s="58">
        <v>289058</v>
      </c>
      <c r="J5" s="46"/>
    </row>
    <row r="6" spans="1:10" ht="28.2" customHeight="1" x14ac:dyDescent="0.3">
      <c r="A6" s="46" t="s">
        <v>190</v>
      </c>
      <c r="B6" s="46"/>
      <c r="C6" s="46"/>
      <c r="D6" s="54" t="s">
        <v>11</v>
      </c>
      <c r="E6" s="55">
        <v>119335</v>
      </c>
      <c r="G6" s="59" t="s">
        <v>201</v>
      </c>
      <c r="H6" s="58">
        <v>658265</v>
      </c>
      <c r="J6" s="46"/>
    </row>
    <row r="7" spans="1:10" x14ac:dyDescent="0.3">
      <c r="A7" s="46"/>
      <c r="B7" s="46"/>
      <c r="C7" s="46"/>
      <c r="D7" s="52" t="s">
        <v>30</v>
      </c>
      <c r="E7" s="53">
        <v>120313</v>
      </c>
      <c r="J7" s="46"/>
    </row>
    <row r="8" spans="1:10" x14ac:dyDescent="0.3">
      <c r="A8" s="45" t="s">
        <v>159</v>
      </c>
      <c r="B8" s="45"/>
      <c r="C8" s="46"/>
      <c r="D8" s="52" t="s">
        <v>201</v>
      </c>
      <c r="E8" s="53">
        <v>658265</v>
      </c>
      <c r="J8" s="46"/>
    </row>
    <row r="9" spans="1:10" ht="28.8" customHeight="1" x14ac:dyDescent="0.3">
      <c r="A9" s="46" t="s">
        <v>191</v>
      </c>
      <c r="B9" s="46"/>
      <c r="C9" s="46"/>
      <c r="J9" s="46"/>
    </row>
    <row r="10" spans="1:10" ht="14.4" customHeight="1" x14ac:dyDescent="0.3">
      <c r="A10" s="46"/>
      <c r="B10" s="46"/>
      <c r="C10" s="46"/>
      <c r="D10" s="66" t="s">
        <v>205</v>
      </c>
      <c r="E10" s="66"/>
      <c r="G10" s="66" t="s">
        <v>208</v>
      </c>
      <c r="H10" s="66"/>
      <c r="J10" s="46"/>
    </row>
    <row r="11" spans="1:10" x14ac:dyDescent="0.3">
      <c r="A11" s="45" t="s">
        <v>160</v>
      </c>
      <c r="B11" s="45"/>
      <c r="C11" s="46"/>
      <c r="D11" s="56" t="s">
        <v>35</v>
      </c>
      <c r="E11" s="1" t="s">
        <v>204</v>
      </c>
      <c r="G11" s="56" t="s">
        <v>200</v>
      </c>
      <c r="H11" s="1" t="s">
        <v>212</v>
      </c>
      <c r="J11" s="46"/>
    </row>
    <row r="12" spans="1:10" ht="28.8" customHeight="1" x14ac:dyDescent="0.3">
      <c r="A12" s="60" t="s">
        <v>192</v>
      </c>
      <c r="B12" s="60"/>
      <c r="C12" s="46"/>
      <c r="D12" s="57" t="s">
        <v>46</v>
      </c>
      <c r="E12" s="58">
        <v>42218</v>
      </c>
      <c r="G12" s="57" t="s">
        <v>209</v>
      </c>
      <c r="H12" s="1">
        <v>48</v>
      </c>
      <c r="J12" s="46"/>
    </row>
    <row r="13" spans="1:10" x14ac:dyDescent="0.3">
      <c r="A13" s="46"/>
      <c r="B13" s="46"/>
      <c r="C13" s="46"/>
      <c r="D13" s="59" t="s">
        <v>40</v>
      </c>
      <c r="E13" s="58">
        <v>36800</v>
      </c>
      <c r="G13" s="59" t="s">
        <v>210</v>
      </c>
      <c r="H13" s="1">
        <v>6</v>
      </c>
      <c r="J13" s="46"/>
    </row>
    <row r="14" spans="1:10" x14ac:dyDescent="0.3">
      <c r="A14" s="45" t="s">
        <v>161</v>
      </c>
      <c r="B14" s="45"/>
      <c r="C14" s="46"/>
      <c r="D14" s="59" t="s">
        <v>37</v>
      </c>
      <c r="E14" s="58">
        <v>62832</v>
      </c>
      <c r="G14" s="59" t="s">
        <v>211</v>
      </c>
      <c r="H14" s="1">
        <v>46</v>
      </c>
      <c r="J14" s="46"/>
    </row>
    <row r="15" spans="1:10" ht="28.8" customHeight="1" x14ac:dyDescent="0.3">
      <c r="A15" s="46" t="s">
        <v>193</v>
      </c>
      <c r="B15" s="46"/>
      <c r="C15" s="46"/>
      <c r="D15" s="57" t="s">
        <v>44</v>
      </c>
      <c r="E15" s="58">
        <v>33533.999999999993</v>
      </c>
      <c r="G15" s="59" t="s">
        <v>201</v>
      </c>
      <c r="H15" s="1">
        <v>100</v>
      </c>
      <c r="J15" s="46"/>
    </row>
    <row r="16" spans="1:10" x14ac:dyDescent="0.3">
      <c r="A16" s="46"/>
      <c r="B16" s="46"/>
      <c r="C16" s="46"/>
      <c r="D16" s="59" t="s">
        <v>42</v>
      </c>
      <c r="E16" s="58">
        <v>38688</v>
      </c>
      <c r="J16" s="46"/>
    </row>
    <row r="17" spans="1:10" x14ac:dyDescent="0.3">
      <c r="A17" s="45" t="s">
        <v>162</v>
      </c>
      <c r="B17" s="45"/>
      <c r="C17" s="46"/>
      <c r="D17" s="59" t="s">
        <v>201</v>
      </c>
      <c r="E17" s="58">
        <v>214072</v>
      </c>
      <c r="J17" s="46"/>
    </row>
    <row r="18" spans="1:10" ht="28.8" customHeight="1" x14ac:dyDescent="0.3">
      <c r="A18" s="46" t="s">
        <v>194</v>
      </c>
      <c r="B18" s="46"/>
      <c r="C18" s="46"/>
      <c r="J18" s="46"/>
    </row>
    <row r="19" spans="1:10" x14ac:dyDescent="0.3">
      <c r="A19" s="46"/>
      <c r="B19" s="46"/>
      <c r="C19" s="46"/>
      <c r="J19" s="46"/>
    </row>
    <row r="20" spans="1:10" x14ac:dyDescent="0.3">
      <c r="A20" s="45" t="s">
        <v>163</v>
      </c>
      <c r="B20" s="45"/>
      <c r="C20" s="46"/>
      <c r="J20" s="46"/>
    </row>
    <row r="21" spans="1:10" ht="43.2" customHeight="1" x14ac:dyDescent="0.3">
      <c r="A21" s="46" t="s">
        <v>195</v>
      </c>
      <c r="B21" s="46"/>
      <c r="C21" s="46"/>
      <c r="J21" s="46"/>
    </row>
    <row r="22" spans="1:10" x14ac:dyDescent="0.3">
      <c r="A22" s="46"/>
      <c r="B22" s="46"/>
      <c r="C22" s="46"/>
      <c r="J22" s="46"/>
    </row>
    <row r="23" spans="1:10" x14ac:dyDescent="0.3">
      <c r="A23" s="45" t="s">
        <v>164</v>
      </c>
      <c r="B23" s="45"/>
      <c r="C23" s="46"/>
      <c r="J23" s="46"/>
    </row>
    <row r="24" spans="1:10" ht="43.2" customHeight="1" x14ac:dyDescent="0.3">
      <c r="A24" s="46" t="s">
        <v>195</v>
      </c>
      <c r="B24" s="46"/>
      <c r="C24" s="46"/>
      <c r="J24" s="46"/>
    </row>
    <row r="25" spans="1:10" x14ac:dyDescent="0.3">
      <c r="A25" s="46"/>
      <c r="B25" s="46"/>
      <c r="C25" s="46"/>
      <c r="J25" s="46"/>
    </row>
    <row r="26" spans="1:10" x14ac:dyDescent="0.3">
      <c r="A26" s="45" t="s">
        <v>165</v>
      </c>
      <c r="B26" s="45"/>
      <c r="C26" s="46"/>
      <c r="J26" s="46"/>
    </row>
    <row r="27" spans="1:10" ht="28.8" customHeight="1" x14ac:dyDescent="0.3">
      <c r="A27" s="46" t="s">
        <v>196</v>
      </c>
      <c r="B27" s="46"/>
      <c r="C27" s="46"/>
      <c r="J27" s="46"/>
    </row>
    <row r="28" spans="1:10" x14ac:dyDescent="0.3">
      <c r="A28" s="46"/>
      <c r="B28" s="46"/>
      <c r="C28" s="46"/>
      <c r="J28" s="46"/>
    </row>
    <row r="29" spans="1:10" x14ac:dyDescent="0.3">
      <c r="A29" s="65" t="s">
        <v>166</v>
      </c>
      <c r="B29" s="65"/>
      <c r="C29" s="46"/>
      <c r="D29" s="46"/>
      <c r="E29" s="46"/>
      <c r="F29" s="46"/>
      <c r="H29" s="46"/>
      <c r="I29" s="46"/>
      <c r="J29" s="46"/>
    </row>
    <row r="30" spans="1:10" ht="43.2" customHeight="1" x14ac:dyDescent="0.3">
      <c r="A30" s="46" t="s">
        <v>197</v>
      </c>
      <c r="B30" s="46"/>
      <c r="C30" s="46"/>
      <c r="D30" s="46"/>
      <c r="E30" s="46"/>
      <c r="F30" s="46"/>
      <c r="H30" s="46"/>
      <c r="I30" s="46"/>
      <c r="J30" s="46"/>
    </row>
    <row r="31" spans="1:10" x14ac:dyDescent="0.3">
      <c r="A31" s="46"/>
      <c r="B31" s="46"/>
      <c r="C31" s="46"/>
      <c r="D31" s="46"/>
      <c r="E31" s="46"/>
      <c r="F31" s="46"/>
      <c r="H31" s="46"/>
      <c r="I31" s="46"/>
      <c r="J31" s="46"/>
    </row>
    <row r="32" spans="1:10" x14ac:dyDescent="0.3">
      <c r="A32" s="45" t="s">
        <v>167</v>
      </c>
      <c r="B32" s="45"/>
      <c r="C32" s="46"/>
      <c r="D32" s="46"/>
      <c r="E32" s="46"/>
      <c r="F32" s="46"/>
      <c r="H32" s="46"/>
      <c r="I32" s="46"/>
      <c r="J32" s="46"/>
    </row>
    <row r="33" spans="1:10" ht="43.2" customHeight="1" x14ac:dyDescent="0.3">
      <c r="A33" s="46" t="s">
        <v>197</v>
      </c>
      <c r="B33" s="46"/>
      <c r="C33" s="46"/>
      <c r="D33" s="46"/>
      <c r="E33" s="46"/>
      <c r="F33" s="46"/>
      <c r="H33" s="46"/>
      <c r="I33" s="46"/>
      <c r="J33" s="46"/>
    </row>
    <row r="34" spans="1:10" x14ac:dyDescent="0.3">
      <c r="A34" s="46"/>
      <c r="B34" s="46"/>
      <c r="C34" s="46"/>
      <c r="D34" s="46"/>
      <c r="E34" s="46"/>
      <c r="F34" s="46"/>
      <c r="H34" s="46"/>
      <c r="I34" s="46"/>
      <c r="J34" s="46"/>
    </row>
    <row r="35" spans="1:10" x14ac:dyDescent="0.3">
      <c r="A35" s="45" t="s">
        <v>168</v>
      </c>
      <c r="B35" s="45"/>
      <c r="C35" s="46"/>
      <c r="D35" s="46"/>
      <c r="E35" s="46"/>
      <c r="F35" s="46"/>
      <c r="H35" s="46"/>
      <c r="I35" s="46"/>
      <c r="J35" s="46"/>
    </row>
    <row r="36" spans="1:10" ht="43.2" customHeight="1" x14ac:dyDescent="0.3">
      <c r="A36" s="46" t="s">
        <v>198</v>
      </c>
      <c r="B36" s="46"/>
      <c r="C36" s="46"/>
      <c r="D36" s="46"/>
      <c r="E36" s="46"/>
      <c r="F36" s="46"/>
      <c r="H36" s="46"/>
      <c r="I36" s="46"/>
      <c r="J36" s="46"/>
    </row>
    <row r="37" spans="1:10" x14ac:dyDescent="0.3">
      <c r="A37" s="46"/>
      <c r="B37" s="46"/>
      <c r="C37" s="46"/>
      <c r="D37" s="46"/>
      <c r="E37" s="46"/>
      <c r="F37" s="46"/>
      <c r="H37" s="46"/>
      <c r="I37" s="46"/>
      <c r="J37" s="46"/>
    </row>
    <row r="38" spans="1:10" x14ac:dyDescent="0.3">
      <c r="A38" s="45" t="s">
        <v>170</v>
      </c>
      <c r="B38" s="45"/>
      <c r="C38" s="46"/>
      <c r="D38" s="46"/>
      <c r="E38" s="46"/>
      <c r="F38" s="46"/>
      <c r="H38" s="46"/>
      <c r="I38" s="46"/>
      <c r="J38" s="46"/>
    </row>
    <row r="39" spans="1:10" ht="43.2" customHeight="1" x14ac:dyDescent="0.3">
      <c r="A39" s="46" t="s">
        <v>199</v>
      </c>
      <c r="B39" s="46"/>
      <c r="C39" s="46"/>
      <c r="D39" s="46"/>
      <c r="E39" s="46"/>
      <c r="F39" s="46"/>
      <c r="H39" s="46"/>
      <c r="I39" s="46"/>
      <c r="J39" s="46"/>
    </row>
    <row r="40" spans="1:10" x14ac:dyDescent="0.3">
      <c r="A40" s="46"/>
      <c r="B40" s="46"/>
      <c r="C40" s="46"/>
      <c r="D40" s="46"/>
      <c r="E40" s="46"/>
      <c r="F40" s="46"/>
      <c r="H40" s="46"/>
      <c r="I40" s="46"/>
      <c r="J40" s="46"/>
    </row>
    <row r="41" spans="1:10" ht="16.2" customHeight="1" x14ac:dyDescent="0.3">
      <c r="A41" s="8" t="s">
        <v>169</v>
      </c>
      <c r="B41" s="44"/>
      <c r="C41" s="46"/>
      <c r="D41" s="46"/>
      <c r="E41" s="46"/>
      <c r="F41" s="46"/>
      <c r="H41" s="46"/>
      <c r="I41" s="46"/>
      <c r="J41" s="46"/>
    </row>
    <row r="42" spans="1:10" ht="43.2" customHeight="1" x14ac:dyDescent="0.3">
      <c r="A42" s="46" t="s">
        <v>199</v>
      </c>
      <c r="B42" s="46"/>
      <c r="C42" s="46"/>
      <c r="D42" s="46"/>
      <c r="E42" s="46"/>
      <c r="F42" s="46"/>
      <c r="H42" s="46"/>
      <c r="I42" s="46"/>
      <c r="J42" s="46"/>
    </row>
  </sheetData>
  <mergeCells count="7">
    <mergeCell ref="G1:H1"/>
    <mergeCell ref="G10:H10"/>
    <mergeCell ref="A12:B12"/>
    <mergeCell ref="A1:C1"/>
    <mergeCell ref="A29:B29"/>
    <mergeCell ref="D10:E10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1215-D4C8-4B18-922C-E593D8947059}">
  <sheetPr>
    <tabColor theme="9" tint="0.39997558519241921"/>
  </sheetPr>
  <dimension ref="B25:W53"/>
  <sheetViews>
    <sheetView showGridLines="0" tabSelected="1" topLeftCell="B27" zoomScale="94" zoomScaleNormal="94" workbookViewId="0">
      <selection activeCell="G45" sqref="G45"/>
    </sheetView>
  </sheetViews>
  <sheetFormatPr baseColWidth="10" defaultRowHeight="14.4" x14ac:dyDescent="0.3"/>
  <cols>
    <col min="12" max="12" width="8.88671875" customWidth="1"/>
  </cols>
  <sheetData>
    <row r="25" spans="2:23" ht="46.2" customHeight="1" x14ac:dyDescent="0.3">
      <c r="B25" s="60" t="s">
        <v>213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N25" s="60" t="s">
        <v>214</v>
      </c>
      <c r="O25" s="60"/>
      <c r="P25" s="60"/>
      <c r="Q25" s="60"/>
      <c r="R25" s="60"/>
      <c r="S25" s="60"/>
      <c r="T25" s="60"/>
      <c r="U25" s="60"/>
      <c r="V25" s="60"/>
      <c r="W25" s="60"/>
    </row>
    <row r="53" spans="9:18" ht="46.8" customHeight="1" x14ac:dyDescent="0.3">
      <c r="I53" s="61" t="s">
        <v>215</v>
      </c>
      <c r="J53" s="61"/>
      <c r="K53" s="61"/>
      <c r="L53" s="61"/>
      <c r="M53" s="61"/>
      <c r="N53" s="61"/>
      <c r="O53" s="61"/>
      <c r="P53" s="61"/>
      <c r="Q53" s="61"/>
      <c r="R53" s="61"/>
    </row>
  </sheetData>
  <mergeCells count="3">
    <mergeCell ref="B25:L25"/>
    <mergeCell ref="N25:W25"/>
    <mergeCell ref="I53:R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Operaciones</vt:lpstr>
      <vt:lpstr>2. Productos</vt:lpstr>
      <vt:lpstr>3. Mercados</vt:lpstr>
      <vt:lpstr>4.Analisis</vt:lpstr>
      <vt:lpstr>5.Graficos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Lenovo</cp:lastModifiedBy>
  <dcterms:created xsi:type="dcterms:W3CDTF">2026-08-30T17:25:07Z</dcterms:created>
  <dcterms:modified xsi:type="dcterms:W3CDTF">2026-09-14T02:35:34Z</dcterms:modified>
</cp:coreProperties>
</file>